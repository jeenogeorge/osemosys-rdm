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ffiliate_countries\Botswana\20260228\"/>
    </mc:Choice>
  </mc:AlternateContent>
  <xr:revisionPtr revIDLastSave="0" documentId="13_ncr:1_{97BDB74A-D320-4058-A557-D32058BA6264}" xr6:coauthVersionLast="47" xr6:coauthVersionMax="47" xr10:uidLastSave="{00000000-0000-0000-0000-000000000000}"/>
  <bookViews>
    <workbookView xWindow="-120" yWindow="-120" windowWidth="29040" windowHeight="17520" tabRatio="727" xr2:uid="{A38498C0-325E-4D75-9B65-6D8B75ECDFF0}"/>
  </bookViews>
  <sheets>
    <sheet name="Uncertainty_Table" sheetId="13" r:id="rId1"/>
    <sheet name="Setup" sheetId="3" r:id="rId2"/>
    <sheet name="Params_Sets_Vari" sheetId="14" r:id="rId3"/>
    <sheet name="To_Print" sheetId="12" r:id="rId4"/>
  </sheets>
  <definedNames>
    <definedName name="_xlnm._FilterDatabase" localSheetId="0" hidden="1">Uncertainty_Table!$A$1:$O$14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3" l="1"/>
  <c r="A4" i="13" s="1"/>
  <c r="A5" i="13" s="1"/>
  <c r="A6" i="13" s="1"/>
  <c r="A7" i="13" s="1"/>
  <c r="A8" i="13" s="1"/>
  <c r="A9" i="13" s="1"/>
  <c r="A10" i="13" s="1"/>
  <c r="A11" i="13" s="1"/>
  <c r="A12" i="13" s="1"/>
  <c r="A13" i="13" s="1"/>
  <c r="A14" i="13" s="1"/>
  <c r="BG2" i="14"/>
  <c r="BF2" i="14"/>
  <c r="BE2" i="14"/>
  <c r="BD2" i="14"/>
  <c r="BC2" i="14"/>
  <c r="BB2" i="14"/>
  <c r="BA2" i="14"/>
  <c r="AZ2" i="14"/>
  <c r="AY2" i="14"/>
  <c r="AX2" i="14"/>
  <c r="AW2" i="14"/>
  <c r="AV2" i="14"/>
  <c r="AU2" i="14"/>
  <c r="AT2" i="14"/>
  <c r="AS2" i="14"/>
  <c r="AR2" i="14"/>
  <c r="AQ2" i="14"/>
  <c r="AP2" i="14"/>
  <c r="AO2" i="14"/>
  <c r="AN2" i="14"/>
  <c r="AM2" i="14"/>
  <c r="AL2" i="14"/>
  <c r="AK2" i="14"/>
  <c r="AJ2" i="14"/>
  <c r="AI2" i="14"/>
  <c r="AH2" i="14"/>
  <c r="AG2" i="14"/>
  <c r="AF2" i="14"/>
  <c r="AE2" i="14"/>
  <c r="AD2" i="14"/>
  <c r="AC2" i="14"/>
  <c r="AB2" i="14"/>
  <c r="AA2" i="14"/>
  <c r="Z2" i="14"/>
  <c r="Y2" i="14"/>
  <c r="X2" i="14"/>
  <c r="W2" i="14"/>
  <c r="V2" i="14"/>
  <c r="U2" i="14"/>
  <c r="T2" i="14"/>
  <c r="S2" i="14"/>
  <c r="R2" i="14"/>
  <c r="Q2" i="14"/>
  <c r="P2" i="14"/>
  <c r="O2" i="14"/>
  <c r="N2" i="14"/>
  <c r="M2" i="14"/>
  <c r="L2" i="14"/>
  <c r="K2" i="14"/>
  <c r="J2" i="14"/>
  <c r="I2" i="14"/>
  <c r="H2" i="14"/>
  <c r="G2" i="14"/>
  <c r="F2" i="14"/>
  <c r="E2" i="14"/>
  <c r="D2" i="14"/>
  <c r="C2" i="14"/>
  <c r="B2" i="14"/>
  <c r="A15" i="13" l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Climate Lead Group</author>
  </authors>
  <commentList>
    <comment ref="E1" authorId="0" shapeId="0" xr:uid="{2F50FA3F-EF55-4802-9EDB-FD7396EEA55E}">
      <text>
        <r>
          <rPr>
            <b/>
            <sz val="9"/>
            <color indexed="81"/>
            <rFont val="Tahoma"/>
            <family val="2"/>
          </rPr>
          <t>Climate Lead Group:</t>
        </r>
        <r>
          <rPr>
            <sz val="9"/>
            <color indexed="81"/>
            <rFont val="Tahoma"/>
            <family val="2"/>
          </rPr>
          <t xml:space="preserve">
Options:
- Linear: Performs a linear interpolation starting at the year of “Initial_Year_of_Uncertainty” and ending at the last year of the model. (The value of the “Explored_Parameter_of_X” must be “Final_value”).
- Constant: Performs a constant curve starting at the year of “Initial_Year_of_Uncertainty” with its value and ending at the last year of the model. (The value of the “Explored_Parameter_of_X” must be “Final_value”).
- Logistic: Perform a logistic curve interpolation, taking as values the value of the year of “Initial_Uncertainty_Year” and the value of the last year of the model, with a smooth fit. (The value of the “Explored_Parameter_of_X” should be “Final_value”).
- Time_Series: Performs a non linear interpolation starting at the year of “Initial_Year_of_Uncertainty” and ending at the last year of the model. Esta función no tiene un comportamiento definido, depende de la pendiente del vector inicial (The value of the “Explored_Parameter_of_X” must be “Final_value”).
-Timeslices_Curve: Performs a vector change to one found in the excel file “src\workflow\2_Miscellaneous\shape_of_demand.csv”. The choice of the new vector is done by randomly by means of the LHS method. (The value of the “Explored_Parameter_of_X” must be “Change_Curve”).</t>
        </r>
      </text>
    </comment>
    <comment ref="L1" authorId="0" shapeId="0" xr:uid="{4B113B91-8C7D-4026-9B16-B744A1863E43}">
      <text>
        <r>
          <rPr>
            <b/>
            <sz val="9"/>
            <color indexed="81"/>
            <rFont val="Tahoma"/>
            <family val="2"/>
          </rPr>
          <t>Climate Lead Group:</t>
        </r>
        <r>
          <rPr>
            <sz val="9"/>
            <color indexed="81"/>
            <rFont val="Tahoma"/>
            <family val="2"/>
          </rPr>
          <t xml:space="preserve">
Check "Params_Sets_Vari" for each parameter involved. You need put sets related with the parameter in the same order as you see in the sheet.
Fo example the first set of InputActivityRatio is t: TECHNOLOGY, so you need to put sets of TECHNOLOGY in this cell for that parameter.</t>
        </r>
      </text>
    </comment>
    <comment ref="M1" authorId="0" shapeId="0" xr:uid="{56220757-0F04-471C-A32C-C1D985AB505F}">
      <text>
        <r>
          <rPr>
            <b/>
            <sz val="9"/>
            <color indexed="81"/>
            <rFont val="Tahoma"/>
            <family val="2"/>
          </rPr>
          <t>Climate Lead Group:</t>
        </r>
        <r>
          <rPr>
            <sz val="9"/>
            <color indexed="81"/>
            <rFont val="Tahoma"/>
            <family val="2"/>
          </rPr>
          <t xml:space="preserve">
Check "Params_Sets_Vari" for each parameter involved. You need put sets related with the parameter in the same order as you see in the sheet.
Fo example the second set of InputActivityRatio is f: COMODDITY so you need to put sets of COMODDITY in this cell for that parameter.</t>
        </r>
      </text>
    </comment>
    <comment ref="N1" authorId="0" shapeId="0" xr:uid="{8E8A5497-9CD0-462C-9F22-242368490FCA}">
      <text>
        <r>
          <rPr>
            <b/>
            <sz val="9"/>
            <color indexed="81"/>
            <rFont val="Tahoma"/>
            <family val="2"/>
          </rPr>
          <t>Climate Lead Group:</t>
        </r>
        <r>
          <rPr>
            <sz val="9"/>
            <color indexed="81"/>
            <rFont val="Tahoma"/>
            <family val="2"/>
          </rPr>
          <t xml:space="preserve">
Check "Params_Sets_Vari" for each parameter involved. You need put sets related with the parameter in the same order as you see in the sheet.
Fo example the third set of InputActivityRatio is t: MODE_OF_OPERATION so you need to put sets of MODE_OF_OPERATION in this cell for that parameter.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Climate Lead Group</author>
  </authors>
  <commentList>
    <comment ref="C1" authorId="0" shapeId="0" xr:uid="{DBC5382B-8EB4-47E4-8B4B-119D1D2D7FE0}">
      <text>
        <r>
          <rPr>
            <b/>
            <sz val="9"/>
            <color indexed="81"/>
            <rFont val="Tahoma"/>
            <family val="2"/>
          </rPr>
          <t>Climate Lead Group:</t>
        </r>
        <r>
          <rPr>
            <sz val="9"/>
            <color indexed="81"/>
            <rFont val="Tahoma"/>
            <family val="2"/>
          </rPr>
          <t xml:space="preserve">
Parameters paint in brown can not do a variation in RDM experiment.</t>
        </r>
      </text>
    </comment>
  </commentList>
</comments>
</file>

<file path=xl/sharedStrings.xml><?xml version="1.0" encoding="utf-8"?>
<sst xmlns="http://schemas.openxmlformats.org/spreadsheetml/2006/main" count="499" uniqueCount="204">
  <si>
    <t>X_Num</t>
  </si>
  <si>
    <t>X_Category</t>
  </si>
  <si>
    <t>X_Plain_English_Description</t>
  </si>
  <si>
    <t>Involved_Scenarios</t>
  </si>
  <si>
    <t>X_Mathematical_Type</t>
  </si>
  <si>
    <t>Explored_Parameter_of_X</t>
  </si>
  <si>
    <t>Initial_Year_of_Uncertainty</t>
  </si>
  <si>
    <t>Min_Value</t>
  </si>
  <si>
    <t>Max_Value</t>
  </si>
  <si>
    <t>Exact_Parameters_Involved_in_Osemosys</t>
  </si>
  <si>
    <t>Dependency</t>
  </si>
  <si>
    <t>Involved_First_Sets_in_Osemosys</t>
  </si>
  <si>
    <t>Involved_Second_Sets_in_Osemosys</t>
  </si>
  <si>
    <t>Involved_Third_Sets_in_Osemosys</t>
  </si>
  <si>
    <t>Manipulation_of_Parameter</t>
  </si>
  <si>
    <t>Demand Growth</t>
  </si>
  <si>
    <t>Demand growth in the buildings, industry and transport sector</t>
  </si>
  <si>
    <t>Scenario1</t>
  </si>
  <si>
    <t>Time_Series</t>
  </si>
  <si>
    <t>Final_Value</t>
  </si>
  <si>
    <t>AccumulatedAnnualDemand</t>
  </si>
  <si>
    <t>YES</t>
  </si>
  <si>
    <t>-</t>
  </si>
  <si>
    <t>1) Multiply final value of time series by the Explored Parameter in each future and then interpolate. 2) Assign the modified parameter back.</t>
  </si>
  <si>
    <t>NO</t>
  </si>
  <si>
    <t>Capital Costs</t>
  </si>
  <si>
    <t>Capital costs of electric vehicles</t>
  </si>
  <si>
    <t>CapitalCost</t>
  </si>
  <si>
    <t>TRAELCCARCUR ; TRAELCCARNEW ; TRAELCMCYCUR ; TRAELCMCYNEW ; TRAELCMNBCUR ; TRAELCMNBNEW ; TRAELCBUSCUR ; TRAELCBUSNEW ; TRAELCLTRCUR ; TRAELCLTRNEW ; TRAELCMTRCUR ; TRAELCMTRNEW ; TRAELCHTRCUR ; TRAELCHTRNEW</t>
  </si>
  <si>
    <t>Fixed Costs</t>
  </si>
  <si>
    <t>Fixed Cost of electric vehicles technologies</t>
  </si>
  <si>
    <t>FixedCost</t>
  </si>
  <si>
    <t>Capital Cost of ICE vehicles technologies</t>
  </si>
  <si>
    <t>TRADSLCARCUR ; TRAGSLCARNEW ; TRADSLCARNEW ; TRADSLMCYNEW ; TRADSLMNBCUR ; TRAGSLMNBNEW ; TRADSLMNBNEW ; TRADSHMNBNEW ; TRADSLBUSCUR ; TRADSLBUSNEW ; TRADSHBUSNEW; TRADSLLTRCUR ; TRADSLLTRNEW ; TRADSHLTRNEW ; TRADSLMTRCUR ; TRADSLMTRNEW ; TRADSLHTRCUR ; TRADSLHTRNEW</t>
  </si>
  <si>
    <t>Fixed Cost of ICE vehicles technologies</t>
  </si>
  <si>
    <t>Variable Costs</t>
  </si>
  <si>
    <t>Variable Cost of crops technologies</t>
  </si>
  <si>
    <t>VariableCost</t>
  </si>
  <si>
    <t>LNDMAIHR ; LNDMAIHI ; LNDMAILR ; LNDMAILI ; LNDCANHR ; LNDCANHI ; LNDCANLR ; LNDCANLI ; LNDGROHR ; LNDGROHI ; LNDGROLR ; LNDGROLI ; LNDMTPHR ; LNDMTPHI ; LNDMTPLR ; LNDMTPLI ; LNDOTCHR ; LNDOTCHI ; LNDOTCLR ; LNDOTCLI ; LNDPULHR ; LNDPULHI ; LNDPULLR ; LNDPULLI ; LNDSORHR ; LNDSORHI ; LNDSORLR ; LNDSORLI ; LNDWHEHR ; LNDWHEHI ; LNDWHELR ; LNDWHELI</t>
  </si>
  <si>
    <t>Fixed Cost of crops technologies</t>
  </si>
  <si>
    <t xml:space="preserve">Import cost of fuels </t>
  </si>
  <si>
    <t>IMPBIO ; IMPLPG ; IMPHFO ; IMPNGS ; IMPURN ; IMPGSL ; IMPDSL ; IMPKER</t>
  </si>
  <si>
    <t>Coal supply</t>
  </si>
  <si>
    <t>MINCOA</t>
  </si>
  <si>
    <t>Cost of electricity imports</t>
  </si>
  <si>
    <t>PWRTRNIMP</t>
  </si>
  <si>
    <t>Cost of crop imports</t>
  </si>
  <si>
    <t>IMPMAI ; IMPPUL ; IMPSOR ; IMPMTP ; IMPGRO ; IMPWHE ; IMPSUN ; IMPOTC</t>
  </si>
  <si>
    <t>Output Activity Ratio</t>
  </si>
  <si>
    <t>Crop yields</t>
  </si>
  <si>
    <t>OutputActivityRatio</t>
  </si>
  <si>
    <t>CRPMAI ; CRPCAN ; CRPGRO ; CRPMTP ; CRPOTC ; CRPPUL ; CRPSOR ; CRPWHE</t>
  </si>
  <si>
    <t>Cost of fuel distribution technologies</t>
  </si>
  <si>
    <t>DEMINDELC ; DEMRESELC ; DEMCOMELC ; DEMAGRELC ; DEMTOURELC ; DEMTRAELC</t>
  </si>
  <si>
    <t>User defined constraint</t>
  </si>
  <si>
    <t>Ensure EVs meet a given share of the total capacity</t>
  </si>
  <si>
    <t>UDCMultiplierTotalCapacity</t>
  </si>
  <si>
    <t>TRAELCCARCUR ; TRAELCCARNEW; TRAELCMCYCUR ; TRAELCMCYNEW; TRAELCMNBCUR ; TRAELCMNBNEW; TRAELCBUSCUR ; TRAELCBUSNEW; TRAELCLTRCUR ; TRAELCLTRNEW; TRAELCMTRCUR ; TRAELCMTRNEW; TRAELCHTRCUR ; TRAELCHTRNEW</t>
  </si>
  <si>
    <t>2TRACAREVCAP</t>
  </si>
  <si>
    <t>Ensure EVs make up no more than 2% of the total car capacity</t>
  </si>
  <si>
    <t>TRAGSLCARCUR ; TRAGSLCARNEW ; TRADSLCARCUR ; TRADSLCARNEW; TRADSHCARNEW; TRAGSLMCYCUR ; TRAGSLMCYNEW ; TRADSLMCYNEW; TRAGSLMNBCUR ; TRAGSLMNBNEW ; TRADSLMNBCUR ; TRADSLMNBNEW; TRADSHMNBNEW; TRADSLBUSCUR ; TRADSLBUSNEW; TRADSHBUSNEW; TRAGSLLTRCUR ; TRAGSLLTRNEW ; TRADSLLTRCUR ; TRADSLLTRNEW; TRADSHLTRNEW; TRADSLMTRCUR ; TRADSLMTRNEW; TRADSLHTRCUR ; TRADSLHTRNEW</t>
  </si>
  <si>
    <t>Forces water availability in 2050 to reduce to 75% of the 2020 value.</t>
  </si>
  <si>
    <t>UDCConstant</t>
  </si>
  <si>
    <t>RESTRICTWAT</t>
  </si>
  <si>
    <t>Collection rate</t>
  </si>
  <si>
    <t xml:space="preserve">Minimum share of waste that should be collected </t>
  </si>
  <si>
    <t>UDCMultiplierActivity</t>
  </si>
  <si>
    <t>WSTGEN; LWTGEN</t>
  </si>
  <si>
    <t>COLWST; COLLWT</t>
  </si>
  <si>
    <t>Capital costs of renewables</t>
  </si>
  <si>
    <t>PWRSOL001; PWRWND001; PWRBIO001</t>
  </si>
  <si>
    <t>Capital costs of the cement industry</t>
  </si>
  <si>
    <t>INDKILNBIOCCS; INDKILNCOACCS; INDKILNBIO; INDKILNCOA; INDKILNDSL; INDKILNLPG; INDKILNHFO; INDKILNCOA</t>
  </si>
  <si>
    <t>Reserve margin</t>
  </si>
  <si>
    <t>PWRTRN</t>
  </si>
  <si>
    <t>RESMAR</t>
  </si>
  <si>
    <t>Demand growth in the agriculture sector</t>
  </si>
  <si>
    <t>LVSSHP ; LVSGOA ; LVSOTH; CRPGRO; CRPMAI ; CRPMTP ; CRPPUL ; CRPOTC ; CRPSOR ; CRPSUN ; CRPWHE</t>
  </si>
  <si>
    <t>Cattle population demand growth</t>
  </si>
  <si>
    <t>LVSCTL</t>
  </si>
  <si>
    <t>Activity Limit</t>
  </si>
  <si>
    <t>Electricity import availability</t>
  </si>
  <si>
    <t>Step</t>
  </si>
  <si>
    <t>TotalTechnologyAnnualActivityUpperLimit</t>
  </si>
  <si>
    <t>Number_of_Runs</t>
  </si>
  <si>
    <t>Scenario_to_Reproduce</t>
  </si>
  <si>
    <t>Experiment_ID</t>
  </si>
  <si>
    <t>Parallel_Use</t>
  </si>
  <si>
    <t>Timeslices_model</t>
  </si>
  <si>
    <t>Run_Base_Future</t>
  </si>
  <si>
    <t>Run_RDM</t>
  </si>
  <si>
    <t>Solver</t>
  </si>
  <si>
    <t>OSeMOSYS_Model_Name</t>
  </si>
  <si>
    <t>Region</t>
  </si>
  <si>
    <t>Experiment</t>
  </si>
  <si>
    <t>Yes</t>
  </si>
  <si>
    <t>cbc</t>
  </si>
  <si>
    <t>model.v.5.3.txt</t>
  </si>
  <si>
    <t>BWA</t>
  </si>
  <si>
    <t>parameter</t>
  </si>
  <si>
    <t>YearSplit</t>
  </si>
  <si>
    <t>DiscountRate</t>
  </si>
  <si>
    <t>DiscountRateIdv</t>
  </si>
  <si>
    <t>TradeRoute</t>
  </si>
  <si>
    <t>DepreciationMethod</t>
  </si>
  <si>
    <t>Conversionls</t>
  </si>
  <si>
    <t>Conversionld</t>
  </si>
  <si>
    <t>Conversionlh</t>
  </si>
  <si>
    <t>DaySplit</t>
  </si>
  <si>
    <t>DaysInDayType</t>
  </si>
  <si>
    <t>SpecifiedAnnualDemand</t>
  </si>
  <si>
    <t>SpecifiedDemandProfile</t>
  </si>
  <si>
    <t>CapacityToActivityUnit</t>
  </si>
  <si>
    <t>CapitalRecoveryFactor</t>
  </si>
  <si>
    <t>CapacityOfOneTechnologyUnit</t>
  </si>
  <si>
    <t>CapacityFactor</t>
  </si>
  <si>
    <t>AvailabilityFactor</t>
  </si>
  <si>
    <t>OperationalLife</t>
  </si>
  <si>
    <t>ResidualCapacity</t>
  </si>
  <si>
    <t>InputActivityRatio</t>
  </si>
  <si>
    <t>InputToNewCapacityRatio</t>
  </si>
  <si>
    <t>InputToTotalCapacityRatio</t>
  </si>
  <si>
    <t>PvAnnuity</t>
  </si>
  <si>
    <t>CapitalCostStorage</t>
  </si>
  <si>
    <t>TotalAnnualMaxCapacity</t>
  </si>
  <si>
    <t>TotalAnnualMinCapacity</t>
  </si>
  <si>
    <t>TotalAnnualMaxCapacityInvestment</t>
  </si>
  <si>
    <t>TotalAnnualMinCapacityInvestment</t>
  </si>
  <si>
    <t>TotalTechnologyAnnualActivityLowerLimit</t>
  </si>
  <si>
    <t>TotalTechnologyModelPeriodActivityUpperLimit</t>
  </si>
  <si>
    <t>TotalTechnologyModelPeriodActivityLowerLimit</t>
  </si>
  <si>
    <t>EmissionActivityRatio</t>
  </si>
  <si>
    <t>AnnualEmissionLimit</t>
  </si>
  <si>
    <t>ModelPeriodEmissionLimit</t>
  </si>
  <si>
    <t>EmissionsPenalty</t>
  </si>
  <si>
    <t>EmissionToActivityChangeRatio</t>
  </si>
  <si>
    <t>TechnologyFromStorage</t>
  </si>
  <si>
    <t>TechnologyToStorage</t>
  </si>
  <si>
    <t>StorageLevelStart</t>
  </si>
  <si>
    <t>MinStorageCharge</t>
  </si>
  <si>
    <t>OperationalLifeStorage</t>
  </si>
  <si>
    <t>ResidualStorageCapacity</t>
  </si>
  <si>
    <t>TechnologyActivityIncreaseByModeLimit</t>
  </si>
  <si>
    <t>TechnologyActivityDecreaseByModeLimit</t>
  </si>
  <si>
    <t>TechnologyActivityByModeLowerLimit</t>
  </si>
  <si>
    <t>TechnologyActivityByModeUpperLimit</t>
  </si>
  <si>
    <t>UDCMultiplierNewCapacity</t>
  </si>
  <si>
    <t>UDCTag</t>
  </si>
  <si>
    <t>number</t>
  </si>
  <si>
    <t>l</t>
  </si>
  <si>
    <t>r</t>
  </si>
  <si>
    <t>lh</t>
  </si>
  <si>
    <t>ls</t>
  </si>
  <si>
    <t>f</t>
  </si>
  <si>
    <t>t</t>
  </si>
  <si>
    <t>s</t>
  </si>
  <si>
    <t>e</t>
  </si>
  <si>
    <t>u</t>
  </si>
  <si>
    <t>m</t>
  </si>
  <si>
    <t>Parameter</t>
  </si>
  <si>
    <t>Select</t>
  </si>
  <si>
    <t>AccumulatedNewCapacity</t>
  </si>
  <si>
    <t>AnnualFixedOperatingCost</t>
  </si>
  <si>
    <t>X</t>
  </si>
  <si>
    <t>AnnualTechnologyEmission</t>
  </si>
  <si>
    <t>AnnualTechnologyEmissionByMode</t>
  </si>
  <si>
    <t>AnnualVariableOperatingCost</t>
  </si>
  <si>
    <t>CapitalInvestment</t>
  </si>
  <si>
    <t>Demand</t>
  </si>
  <si>
    <t>DiscountedSalvageValue</t>
  </si>
  <si>
    <t>InputToNewCapacity</t>
  </si>
  <si>
    <t>InputToTotalCapacity</t>
  </si>
  <si>
    <t>NewCapacity</t>
  </si>
  <si>
    <t>NumberOfNewTechnologyUnits</t>
  </si>
  <si>
    <t>ProductionByTechnology</t>
  </si>
  <si>
    <t>RateOfActivity</t>
  </si>
  <si>
    <t>RateOfTotalActivity</t>
  </si>
  <si>
    <t>SalvageValue</t>
  </si>
  <si>
    <t>TotalAnnualTechnologyActivityByMode</t>
  </si>
  <si>
    <t>TotalCapacityAnnual</t>
  </si>
  <si>
    <t>TotalTechnologyAnnualActivity</t>
  </si>
  <si>
    <t>TotalTechnologyModelPeriodActivity</t>
  </si>
  <si>
    <t>Trade</t>
  </si>
  <si>
    <t>EmissionByActivityChange</t>
  </si>
  <si>
    <t>TechnologyEmissionsPenalty</t>
  </si>
  <si>
    <t>NewStorageCapacity</t>
  </si>
  <si>
    <t>SalvageValueStorage</t>
  </si>
  <si>
    <t>StorageLevelYearStart</t>
  </si>
  <si>
    <t>StorageLevelYearFinish</t>
  </si>
  <si>
    <t>StorageLevelSeasonStart</t>
  </si>
  <si>
    <t>StorageLevelDayTypeStart</t>
  </si>
  <si>
    <t>StorageLevelDayTypeFinish</t>
  </si>
  <si>
    <t>RateOfNetStorageActivity</t>
  </si>
  <si>
    <t>NetChargeWithinYear</t>
  </si>
  <si>
    <t>NetChargeWithinDay</t>
  </si>
  <si>
    <t>StorageLowerLimit</t>
  </si>
  <si>
    <t>StorageUpperLimit</t>
  </si>
  <si>
    <t>AccumulatedNewStorageCapacity</t>
  </si>
  <si>
    <t>CapitalInvestmentStorage</t>
  </si>
  <si>
    <t>DiscountedCapitalInvestmentStorage</t>
  </si>
  <si>
    <t>DiscountedSalvageValueStorage</t>
  </si>
  <si>
    <t>TotalDiscountedStorageCost</t>
  </si>
  <si>
    <r>
      <rPr>
        <sz val="11"/>
        <color rgb="FFFF0000"/>
        <rFont val="Calibri"/>
        <family val="2"/>
        <scheme val="minor"/>
      </rPr>
      <t>INDMINHPHLPG; INDMINHPHHFO; INDMINHPHDSL;  INDMINHPHCOA;  INDMINHPHBIO ;</t>
    </r>
    <r>
      <rPr>
        <sz val="11"/>
        <color theme="4"/>
        <rFont val="Calibri"/>
        <family val="2"/>
        <scheme val="minor"/>
      </rPr>
      <t xml:space="preserve"> TRAELCMNBCUR ; TRAELCBUSCUR ; TRAELCLTRCUR ; TRAELCMTRCUR ; TRAELCHTRCUR ;TRADSLCARCUR ; TRAGSLCARNEW ; TRADSLCARNEW ; TRADSLMNBCUR ; TRAGSLMNBNEW ; TRADSLMNBNEW ; TRADSLBUSCUR ; TRADSLBUSNEW ; TRADSLLTRCUR ; TRADSLLTRNEW ; TRADSLMTRCUR ; TRADSLMTRNEW ; TRADSLHTRCUR ; TRADSLHTRNEW</t>
    </r>
  </si>
  <si>
    <r>
      <rPr>
        <b/>
        <sz val="11"/>
        <color theme="1"/>
        <rFont val="Calibri"/>
        <family val="2"/>
        <scheme val="minor"/>
      </rPr>
      <t>RESCKN ; RESLGT ; RESCOL ; RESWHT ; RESHEL ; RESELCOTH ; COMELCOTH ; COMHET ; TOURELCOTH ; TOURHET;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INDMIN</t>
    </r>
    <r>
      <rPr>
        <sz val="11"/>
        <color theme="1"/>
        <rFont val="Calibri"/>
        <family val="2"/>
        <scheme val="minor"/>
      </rPr>
      <t xml:space="preserve"> ; INDASH ; INDCEM ; INDOTH; </t>
    </r>
    <r>
      <rPr>
        <sz val="11"/>
        <color rgb="FFFF0000"/>
        <rFont val="Calibri"/>
        <family val="2"/>
        <scheme val="minor"/>
      </rPr>
      <t>TRACAR</t>
    </r>
    <r>
      <rPr>
        <sz val="11"/>
        <color theme="1"/>
        <rFont val="Calibri"/>
        <family val="2"/>
        <scheme val="minor"/>
      </rPr>
      <t xml:space="preserve"> ; TRAMCY ; </t>
    </r>
    <r>
      <rPr>
        <sz val="11"/>
        <color rgb="FFFF0000"/>
        <rFont val="Calibri"/>
        <family val="2"/>
        <scheme val="minor"/>
      </rPr>
      <t>TRABUS</t>
    </r>
    <r>
      <rPr>
        <sz val="11"/>
        <color theme="1"/>
        <rFont val="Calibri"/>
        <family val="2"/>
        <scheme val="minor"/>
      </rPr>
      <t xml:space="preserve"> ; </t>
    </r>
    <r>
      <rPr>
        <sz val="11"/>
        <color rgb="FFFF0000"/>
        <rFont val="Calibri"/>
        <family val="2"/>
        <scheme val="minor"/>
      </rPr>
      <t>TRAMNB</t>
    </r>
    <r>
      <rPr>
        <sz val="11"/>
        <color theme="1"/>
        <rFont val="Calibri"/>
        <family val="2"/>
        <scheme val="minor"/>
      </rPr>
      <t xml:space="preserve"> ; </t>
    </r>
    <r>
      <rPr>
        <sz val="11"/>
        <color rgb="FFFF0000"/>
        <rFont val="Calibri"/>
        <family val="2"/>
        <scheme val="minor"/>
      </rPr>
      <t>TRALTR</t>
    </r>
    <r>
      <rPr>
        <sz val="11"/>
        <color theme="1"/>
        <rFont val="Calibri"/>
        <family val="2"/>
        <scheme val="minor"/>
      </rPr>
      <t xml:space="preserve"> ; </t>
    </r>
    <r>
      <rPr>
        <sz val="11"/>
        <color rgb="FFFF0000"/>
        <rFont val="Calibri"/>
        <family val="2"/>
        <scheme val="minor"/>
      </rPr>
      <t>TRAMTR</t>
    </r>
    <r>
      <rPr>
        <sz val="11"/>
        <color theme="1"/>
        <rFont val="Calibri"/>
        <family val="2"/>
        <scheme val="minor"/>
      </rPr>
      <t xml:space="preserve"> ; </t>
    </r>
    <r>
      <rPr>
        <sz val="11"/>
        <color rgb="FFFF0000"/>
        <rFont val="Calibri"/>
        <family val="2"/>
        <scheme val="minor"/>
      </rPr>
      <t>TRAHTR</t>
    </r>
    <r>
      <rPr>
        <sz val="11"/>
        <color theme="1"/>
        <rFont val="Calibri"/>
        <family val="2"/>
        <scheme val="minor"/>
      </rPr>
      <t xml:space="preserve"> ; TRARAILF ; TRAAVI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</si>
</sst>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theme="4"/>
      <name val="Calibri"/>
      <family val="2"/>
      <scheme val="minor"/>
    </font>
    <font>
      <sz val="11"/>
      <color theme="4"/>
      <name val="Calibri"/>
      <family val="2"/>
    </font>
    <font>
      <sz val="11"/>
      <color theme="4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49998474074526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1" xfId="0" applyFont="1" applyFill="1" applyBorder="1"/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3" xfId="0" applyFont="1" applyFill="1" applyBorder="1"/>
    <xf numFmtId="0" fontId="0" fillId="3" borderId="3" xfId="0" applyFill="1" applyBorder="1" applyAlignment="1">
      <alignment horizontal="center" vertical="center"/>
    </xf>
    <xf numFmtId="0" fontId="1" fillId="2" borderId="4" xfId="0" applyFont="1" applyFill="1" applyBorder="1"/>
    <xf numFmtId="0" fontId="1" fillId="2" borderId="5" xfId="0" applyFont="1" applyFill="1" applyBorder="1"/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1" fillId="2" borderId="7" xfId="0" applyFont="1" applyFill="1" applyBorder="1"/>
    <xf numFmtId="0" fontId="1" fillId="2" borderId="7" xfId="0" applyFont="1" applyFill="1" applyBorder="1" applyAlignment="1">
      <alignment horizontal="center"/>
    </xf>
    <xf numFmtId="0" fontId="0" fillId="3" borderId="6" xfId="0" applyFill="1" applyBorder="1" applyAlignment="1">
      <alignment horizontal="center" vertical="center"/>
    </xf>
    <xf numFmtId="0" fontId="0" fillId="5" borderId="0" xfId="0" applyFill="1"/>
    <xf numFmtId="0" fontId="0" fillId="4" borderId="0" xfId="0" applyFill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 vertical="top" wrapText="1"/>
    </xf>
    <xf numFmtId="0" fontId="5" fillId="0" borderId="2" xfId="0" applyFont="1" applyBorder="1" applyAlignment="1">
      <alignment horizontal="center" wrapText="1"/>
    </xf>
    <xf numFmtId="0" fontId="0" fillId="3" borderId="9" xfId="0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/>
    </xf>
    <xf numFmtId="0" fontId="12" fillId="0" borderId="2" xfId="0" applyFont="1" applyBorder="1"/>
    <xf numFmtId="0" fontId="7" fillId="0" borderId="2" xfId="0" applyFont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/>
    </xf>
    <xf numFmtId="0" fontId="0" fillId="4" borderId="2" xfId="0" applyFill="1" applyBorder="1"/>
    <xf numFmtId="0" fontId="7" fillId="4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 wrapText="1"/>
    </xf>
    <xf numFmtId="0" fontId="13" fillId="4" borderId="11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wrapText="1"/>
    </xf>
    <xf numFmtId="0" fontId="6" fillId="4" borderId="2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12" fillId="4" borderId="2" xfId="0" applyFont="1" applyFill="1" applyBorder="1"/>
    <xf numFmtId="0" fontId="12" fillId="4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575"/>
      <color rgb="FFFF99FF"/>
      <color rgb="FFFFA3A3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5B787-8749-47D9-9D7A-FB53FE5A30D3}">
  <dimension ref="A1:O39"/>
  <sheetViews>
    <sheetView tabSelected="1" topLeftCell="C1" zoomScale="77" zoomScaleNormal="77" workbookViewId="0">
      <selection activeCell="L3" sqref="L3"/>
    </sheetView>
  </sheetViews>
  <sheetFormatPr defaultColWidth="8.85546875" defaultRowHeight="15" customHeight="1" x14ac:dyDescent="0.25"/>
  <cols>
    <col min="1" max="1" width="9.5703125" style="15" customWidth="1"/>
    <col min="2" max="2" width="28.28515625" style="15" customWidth="1"/>
    <col min="3" max="3" width="44" style="16" customWidth="1"/>
    <col min="4" max="4" width="24.42578125" style="20" customWidth="1"/>
    <col min="5" max="5" width="27.42578125" style="20" customWidth="1"/>
    <col min="6" max="7" width="32.140625" style="20" customWidth="1"/>
    <col min="8" max="8" width="13.5703125" style="20" customWidth="1"/>
    <col min="9" max="9" width="14.42578125" style="20" customWidth="1"/>
    <col min="10" max="10" width="54" style="15" customWidth="1"/>
    <col min="11" max="11" width="14.5703125" style="15" bestFit="1" customWidth="1"/>
    <col min="12" max="12" width="79.7109375" style="16" bestFit="1" customWidth="1"/>
    <col min="13" max="13" width="49" style="21" bestFit="1" customWidth="1"/>
    <col min="14" max="14" width="45.85546875" style="20" bestFit="1" customWidth="1"/>
    <col min="15" max="15" width="44" style="21" bestFit="1" customWidth="1"/>
    <col min="16" max="16384" width="8.85546875" style="19"/>
  </cols>
  <sheetData>
    <row r="1" spans="1:15" s="15" customFormat="1" x14ac:dyDescent="0.25">
      <c r="A1" s="17" t="s">
        <v>0</v>
      </c>
      <c r="B1" s="17" t="s">
        <v>1</v>
      </c>
      <c r="C1" s="1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27" t="s">
        <v>10</v>
      </c>
      <c r="L1" s="18" t="s">
        <v>11</v>
      </c>
      <c r="M1" s="18" t="s">
        <v>12</v>
      </c>
      <c r="N1" s="17" t="s">
        <v>13</v>
      </c>
      <c r="O1" s="18" t="s">
        <v>14</v>
      </c>
    </row>
    <row r="2" spans="1:15" ht="60" x14ac:dyDescent="0.25">
      <c r="A2" s="15">
        <v>1</v>
      </c>
      <c r="B2" s="15" t="s">
        <v>15</v>
      </c>
      <c r="C2" s="16" t="s">
        <v>16</v>
      </c>
      <c r="D2" s="15" t="s">
        <v>17</v>
      </c>
      <c r="E2" s="15" t="s">
        <v>18</v>
      </c>
      <c r="F2" s="15" t="s">
        <v>19</v>
      </c>
      <c r="G2" s="15">
        <v>2026</v>
      </c>
      <c r="H2" s="15">
        <v>0.5</v>
      </c>
      <c r="I2" s="15">
        <v>1.5</v>
      </c>
      <c r="J2" s="15" t="s">
        <v>20</v>
      </c>
      <c r="K2" s="28" t="s">
        <v>21</v>
      </c>
      <c r="L2" s="16" t="s">
        <v>203</v>
      </c>
      <c r="M2" s="16" t="s">
        <v>22</v>
      </c>
      <c r="N2" s="16" t="s">
        <v>22</v>
      </c>
      <c r="O2" s="16" t="s">
        <v>23</v>
      </c>
    </row>
    <row r="3" spans="1:15" s="51" customFormat="1" ht="90" x14ac:dyDescent="0.25">
      <c r="A3" s="43">
        <f t="shared" ref="A3:A26" si="0">A2+1</f>
        <v>2</v>
      </c>
      <c r="B3" s="43" t="s">
        <v>15</v>
      </c>
      <c r="C3" s="38" t="s">
        <v>16</v>
      </c>
      <c r="D3" s="43" t="s">
        <v>17</v>
      </c>
      <c r="E3" s="43" t="s">
        <v>18</v>
      </c>
      <c r="F3" s="43" t="s">
        <v>19</v>
      </c>
      <c r="G3" s="43">
        <v>2026</v>
      </c>
      <c r="H3" s="43">
        <v>1</v>
      </c>
      <c r="I3" s="43">
        <v>2</v>
      </c>
      <c r="J3" s="43" t="s">
        <v>142</v>
      </c>
      <c r="K3" s="45" t="s">
        <v>24</v>
      </c>
      <c r="L3" s="44" t="s">
        <v>202</v>
      </c>
      <c r="M3" s="44" t="s">
        <v>22</v>
      </c>
      <c r="N3" s="44" t="s">
        <v>22</v>
      </c>
      <c r="O3" s="44" t="s">
        <v>23</v>
      </c>
    </row>
    <row r="4" spans="1:15" ht="45" x14ac:dyDescent="0.25">
      <c r="A4" s="15">
        <f t="shared" si="0"/>
        <v>3</v>
      </c>
      <c r="B4" s="15" t="s">
        <v>25</v>
      </c>
      <c r="C4" s="16" t="s">
        <v>26</v>
      </c>
      <c r="D4" s="15" t="s">
        <v>17</v>
      </c>
      <c r="E4" s="15" t="s">
        <v>18</v>
      </c>
      <c r="F4" s="15" t="s">
        <v>19</v>
      </c>
      <c r="G4" s="15">
        <v>2026</v>
      </c>
      <c r="H4" s="15">
        <v>0.5</v>
      </c>
      <c r="I4" s="15">
        <v>1.5</v>
      </c>
      <c r="J4" s="15" t="s">
        <v>27</v>
      </c>
      <c r="K4" s="28" t="s">
        <v>21</v>
      </c>
      <c r="L4" s="23" t="s">
        <v>28</v>
      </c>
      <c r="M4" s="16" t="s">
        <v>22</v>
      </c>
      <c r="N4" s="16" t="s">
        <v>22</v>
      </c>
    </row>
    <row r="5" spans="1:15" s="32" customFormat="1" ht="60" x14ac:dyDescent="0.25">
      <c r="A5" s="32">
        <f t="shared" si="0"/>
        <v>4</v>
      </c>
      <c r="B5" s="32" t="s">
        <v>29</v>
      </c>
      <c r="C5" s="33" t="s">
        <v>30</v>
      </c>
      <c r="D5" s="32" t="s">
        <v>17</v>
      </c>
      <c r="E5" s="32" t="s">
        <v>18</v>
      </c>
      <c r="F5" s="32" t="s">
        <v>19</v>
      </c>
      <c r="G5" s="32">
        <v>2026</v>
      </c>
      <c r="H5" s="32">
        <v>0.5</v>
      </c>
      <c r="I5" s="32">
        <v>1.5</v>
      </c>
      <c r="J5" s="32" t="s">
        <v>31</v>
      </c>
      <c r="K5" s="34" t="s">
        <v>24</v>
      </c>
      <c r="L5" s="46" t="s">
        <v>28</v>
      </c>
      <c r="M5" s="33" t="s">
        <v>22</v>
      </c>
      <c r="N5" s="33" t="s">
        <v>22</v>
      </c>
      <c r="O5" s="33" t="s">
        <v>23</v>
      </c>
    </row>
    <row r="6" spans="1:15" s="15" customFormat="1" ht="75" x14ac:dyDescent="0.25">
      <c r="A6" s="15">
        <f t="shared" si="0"/>
        <v>5</v>
      </c>
      <c r="B6" s="15" t="s">
        <v>25</v>
      </c>
      <c r="C6" s="16" t="s">
        <v>32</v>
      </c>
      <c r="D6" s="15" t="s">
        <v>17</v>
      </c>
      <c r="E6" s="15" t="s">
        <v>18</v>
      </c>
      <c r="F6" s="15" t="s">
        <v>19</v>
      </c>
      <c r="G6" s="15">
        <v>2026</v>
      </c>
      <c r="H6" s="15">
        <v>0.5</v>
      </c>
      <c r="I6" s="15">
        <v>1.5</v>
      </c>
      <c r="J6" s="15" t="s">
        <v>27</v>
      </c>
      <c r="K6" s="28" t="s">
        <v>21</v>
      </c>
      <c r="L6" s="16" t="s">
        <v>33</v>
      </c>
      <c r="M6" s="16" t="s">
        <v>22</v>
      </c>
      <c r="N6" s="16" t="s">
        <v>22</v>
      </c>
      <c r="O6" s="16" t="s">
        <v>23</v>
      </c>
    </row>
    <row r="7" spans="1:15" s="43" customFormat="1" ht="75" x14ac:dyDescent="0.25">
      <c r="A7" s="43">
        <f t="shared" si="0"/>
        <v>6</v>
      </c>
      <c r="B7" s="43" t="s">
        <v>29</v>
      </c>
      <c r="C7" s="44" t="s">
        <v>34</v>
      </c>
      <c r="D7" s="43" t="s">
        <v>17</v>
      </c>
      <c r="E7" s="43" t="s">
        <v>18</v>
      </c>
      <c r="F7" s="43" t="s">
        <v>19</v>
      </c>
      <c r="G7" s="43">
        <v>2026</v>
      </c>
      <c r="H7" s="43">
        <v>0.5</v>
      </c>
      <c r="I7" s="43">
        <v>1.5</v>
      </c>
      <c r="J7" s="43" t="s">
        <v>31</v>
      </c>
      <c r="K7" s="45" t="s">
        <v>24</v>
      </c>
      <c r="L7" s="44" t="s">
        <v>33</v>
      </c>
      <c r="M7" s="44" t="s">
        <v>22</v>
      </c>
      <c r="N7" s="44" t="s">
        <v>22</v>
      </c>
      <c r="O7" s="44" t="s">
        <v>23</v>
      </c>
    </row>
    <row r="8" spans="1:15" ht="75" x14ac:dyDescent="0.25">
      <c r="A8" s="15">
        <f t="shared" si="0"/>
        <v>7</v>
      </c>
      <c r="B8" s="15" t="s">
        <v>35</v>
      </c>
      <c r="C8" s="16" t="s">
        <v>36</v>
      </c>
      <c r="D8" s="15" t="s">
        <v>17</v>
      </c>
      <c r="E8" s="15" t="s">
        <v>18</v>
      </c>
      <c r="F8" s="15" t="s">
        <v>19</v>
      </c>
      <c r="G8" s="15">
        <v>2026</v>
      </c>
      <c r="H8" s="15">
        <v>0.5</v>
      </c>
      <c r="I8" s="15">
        <v>1.5</v>
      </c>
      <c r="J8" s="16" t="s">
        <v>37</v>
      </c>
      <c r="K8" s="28" t="s">
        <v>21</v>
      </c>
      <c r="L8" s="22" t="s">
        <v>38</v>
      </c>
      <c r="M8" s="16" t="s">
        <v>22</v>
      </c>
      <c r="N8" s="16" t="s">
        <v>22</v>
      </c>
      <c r="O8" s="16" t="s">
        <v>23</v>
      </c>
    </row>
    <row r="9" spans="1:15" s="51" customFormat="1" ht="75" x14ac:dyDescent="0.25">
      <c r="A9" s="43">
        <f t="shared" si="0"/>
        <v>8</v>
      </c>
      <c r="B9" s="43" t="s">
        <v>29</v>
      </c>
      <c r="C9" s="44" t="s">
        <v>39</v>
      </c>
      <c r="D9" s="43" t="s">
        <v>17</v>
      </c>
      <c r="E9" s="43" t="s">
        <v>18</v>
      </c>
      <c r="F9" s="43" t="s">
        <v>19</v>
      </c>
      <c r="G9" s="43">
        <v>2026</v>
      </c>
      <c r="H9" s="43">
        <v>0.5</v>
      </c>
      <c r="I9" s="43">
        <v>1.5</v>
      </c>
      <c r="J9" s="43" t="s">
        <v>31</v>
      </c>
      <c r="K9" s="45" t="s">
        <v>24</v>
      </c>
      <c r="L9" s="52" t="s">
        <v>38</v>
      </c>
      <c r="M9" s="44" t="s">
        <v>22</v>
      </c>
      <c r="N9" s="44" t="s">
        <v>22</v>
      </c>
      <c r="O9" s="44" t="s">
        <v>23</v>
      </c>
    </row>
    <row r="10" spans="1:15" ht="60" x14ac:dyDescent="0.25">
      <c r="A10" s="15">
        <f t="shared" si="0"/>
        <v>9</v>
      </c>
      <c r="B10" s="15" t="s">
        <v>35</v>
      </c>
      <c r="C10" s="16" t="s">
        <v>40</v>
      </c>
      <c r="D10" s="15" t="s">
        <v>17</v>
      </c>
      <c r="E10" s="15" t="s">
        <v>18</v>
      </c>
      <c r="F10" s="15" t="s">
        <v>19</v>
      </c>
      <c r="G10" s="15">
        <v>2026</v>
      </c>
      <c r="H10" s="15">
        <v>0.5</v>
      </c>
      <c r="I10" s="15">
        <v>1.5</v>
      </c>
      <c r="J10" s="16" t="s">
        <v>37</v>
      </c>
      <c r="K10" s="28" t="s">
        <v>24</v>
      </c>
      <c r="L10" s="16" t="s">
        <v>41</v>
      </c>
      <c r="M10" s="16" t="s">
        <v>22</v>
      </c>
      <c r="N10" s="16" t="s">
        <v>22</v>
      </c>
      <c r="O10" s="16" t="s">
        <v>23</v>
      </c>
    </row>
    <row r="11" spans="1:15" ht="60" x14ac:dyDescent="0.25">
      <c r="A11" s="15">
        <f t="shared" si="0"/>
        <v>10</v>
      </c>
      <c r="B11" s="15" t="s">
        <v>35</v>
      </c>
      <c r="C11" s="16" t="s">
        <v>42</v>
      </c>
      <c r="D11" s="15" t="s">
        <v>17</v>
      </c>
      <c r="E11" s="15" t="s">
        <v>18</v>
      </c>
      <c r="F11" s="15" t="s">
        <v>19</v>
      </c>
      <c r="G11" s="15">
        <v>2026</v>
      </c>
      <c r="H11" s="15">
        <v>0.5</v>
      </c>
      <c r="I11" s="15">
        <v>1.5</v>
      </c>
      <c r="J11" s="16" t="s">
        <v>37</v>
      </c>
      <c r="K11" s="28" t="s">
        <v>24</v>
      </c>
      <c r="L11" s="16" t="s">
        <v>43</v>
      </c>
      <c r="M11" s="16" t="s">
        <v>22</v>
      </c>
      <c r="N11" s="16" t="s">
        <v>22</v>
      </c>
      <c r="O11" s="16" t="s">
        <v>23</v>
      </c>
    </row>
    <row r="12" spans="1:15" ht="60" x14ac:dyDescent="0.25">
      <c r="A12" s="15">
        <f t="shared" si="0"/>
        <v>11</v>
      </c>
      <c r="B12" s="15" t="s">
        <v>35</v>
      </c>
      <c r="C12" s="16" t="s">
        <v>44</v>
      </c>
      <c r="D12" s="15" t="s">
        <v>17</v>
      </c>
      <c r="E12" s="15" t="s">
        <v>18</v>
      </c>
      <c r="F12" s="15" t="s">
        <v>19</v>
      </c>
      <c r="G12" s="15">
        <v>2026</v>
      </c>
      <c r="H12" s="15">
        <v>0.5</v>
      </c>
      <c r="I12" s="15">
        <v>1.5</v>
      </c>
      <c r="J12" s="16" t="s">
        <v>37</v>
      </c>
      <c r="K12" s="28" t="s">
        <v>24</v>
      </c>
      <c r="L12" s="16" t="s">
        <v>45</v>
      </c>
      <c r="M12" s="16" t="s">
        <v>22</v>
      </c>
      <c r="N12" s="16" t="s">
        <v>22</v>
      </c>
      <c r="O12" s="16" t="s">
        <v>23</v>
      </c>
    </row>
    <row r="13" spans="1:15" ht="60" x14ac:dyDescent="0.25">
      <c r="A13" s="15">
        <f t="shared" si="0"/>
        <v>12</v>
      </c>
      <c r="B13" s="15" t="s">
        <v>35</v>
      </c>
      <c r="C13" s="16" t="s">
        <v>46</v>
      </c>
      <c r="D13" s="15" t="s">
        <v>17</v>
      </c>
      <c r="E13" s="15" t="s">
        <v>18</v>
      </c>
      <c r="F13" s="15" t="s">
        <v>19</v>
      </c>
      <c r="G13" s="15">
        <v>2026</v>
      </c>
      <c r="H13" s="15">
        <v>0.5</v>
      </c>
      <c r="I13" s="15">
        <v>1.5</v>
      </c>
      <c r="J13" s="16" t="s">
        <v>37</v>
      </c>
      <c r="K13" s="28" t="s">
        <v>24</v>
      </c>
      <c r="L13" s="16" t="s">
        <v>47</v>
      </c>
      <c r="M13" s="16" t="s">
        <v>22</v>
      </c>
      <c r="N13" s="16" t="s">
        <v>22</v>
      </c>
      <c r="O13" s="16" t="s">
        <v>23</v>
      </c>
    </row>
    <row r="14" spans="1:15" ht="75" x14ac:dyDescent="0.25">
      <c r="A14" s="15">
        <f t="shared" si="0"/>
        <v>13</v>
      </c>
      <c r="B14" s="15" t="s">
        <v>48</v>
      </c>
      <c r="C14" s="16" t="s">
        <v>49</v>
      </c>
      <c r="D14" s="15" t="s">
        <v>17</v>
      </c>
      <c r="E14" s="15" t="s">
        <v>18</v>
      </c>
      <c r="F14" s="15" t="s">
        <v>19</v>
      </c>
      <c r="G14" s="15">
        <v>2026</v>
      </c>
      <c r="H14" s="15">
        <v>0.5</v>
      </c>
      <c r="I14" s="15">
        <v>1.5</v>
      </c>
      <c r="J14" s="16" t="s">
        <v>50</v>
      </c>
      <c r="K14" s="28" t="s">
        <v>24</v>
      </c>
      <c r="L14" s="16" t="s">
        <v>38</v>
      </c>
      <c r="M14" s="16" t="s">
        <v>51</v>
      </c>
      <c r="N14" s="16" t="s">
        <v>22</v>
      </c>
      <c r="O14" s="16" t="s">
        <v>23</v>
      </c>
    </row>
    <row r="15" spans="1:15" ht="60" x14ac:dyDescent="0.25">
      <c r="A15" s="15">
        <f t="shared" si="0"/>
        <v>14</v>
      </c>
      <c r="B15" s="15" t="s">
        <v>25</v>
      </c>
      <c r="C15" s="16" t="s">
        <v>52</v>
      </c>
      <c r="D15" s="15" t="s">
        <v>17</v>
      </c>
      <c r="E15" s="15" t="s">
        <v>18</v>
      </c>
      <c r="F15" s="15" t="s">
        <v>19</v>
      </c>
      <c r="G15" s="15">
        <v>2026</v>
      </c>
      <c r="H15" s="15">
        <v>0.5</v>
      </c>
      <c r="I15" s="15">
        <v>1.5</v>
      </c>
      <c r="J15" s="16" t="s">
        <v>27</v>
      </c>
      <c r="K15" s="28" t="s">
        <v>24</v>
      </c>
      <c r="L15" s="16" t="s">
        <v>53</v>
      </c>
      <c r="O15" s="16" t="s">
        <v>23</v>
      </c>
    </row>
    <row r="16" spans="1:15" ht="60" x14ac:dyDescent="0.25">
      <c r="A16" s="15">
        <f t="shared" si="0"/>
        <v>15</v>
      </c>
      <c r="B16" s="15" t="s">
        <v>54</v>
      </c>
      <c r="C16" s="16" t="s">
        <v>55</v>
      </c>
      <c r="D16" s="15" t="s">
        <v>17</v>
      </c>
      <c r="E16" s="15" t="s">
        <v>18</v>
      </c>
      <c r="F16" s="15" t="s">
        <v>19</v>
      </c>
      <c r="G16" s="15">
        <v>2026</v>
      </c>
      <c r="H16" s="36">
        <v>0.93</v>
      </c>
      <c r="I16" s="36">
        <v>1</v>
      </c>
      <c r="J16" s="15" t="s">
        <v>56</v>
      </c>
      <c r="K16" s="28" t="s">
        <v>21</v>
      </c>
      <c r="L16" s="16" t="s">
        <v>57</v>
      </c>
      <c r="M16" s="16" t="s">
        <v>58</v>
      </c>
      <c r="N16" s="16" t="s">
        <v>22</v>
      </c>
      <c r="O16" s="16" t="s">
        <v>23</v>
      </c>
    </row>
    <row r="17" spans="1:15" s="35" customFormat="1" ht="90" x14ac:dyDescent="0.25">
      <c r="A17" s="15">
        <f t="shared" si="0"/>
        <v>16</v>
      </c>
      <c r="B17" s="32" t="s">
        <v>54</v>
      </c>
      <c r="C17" s="33" t="s">
        <v>59</v>
      </c>
      <c r="D17" s="32" t="s">
        <v>17</v>
      </c>
      <c r="E17" s="32" t="s">
        <v>18</v>
      </c>
      <c r="F17" s="32" t="s">
        <v>19</v>
      </c>
      <c r="G17" s="32">
        <v>2026</v>
      </c>
      <c r="H17" s="36">
        <v>0.93</v>
      </c>
      <c r="I17" s="36">
        <v>1</v>
      </c>
      <c r="J17" s="32" t="s">
        <v>56</v>
      </c>
      <c r="K17" s="34" t="s">
        <v>24</v>
      </c>
      <c r="L17" s="33" t="s">
        <v>60</v>
      </c>
      <c r="M17" s="33" t="s">
        <v>58</v>
      </c>
      <c r="N17" s="33" t="s">
        <v>22</v>
      </c>
      <c r="O17" s="33" t="s">
        <v>23</v>
      </c>
    </row>
    <row r="18" spans="1:15" ht="60" x14ac:dyDescent="0.25">
      <c r="A18" s="15">
        <f t="shared" si="0"/>
        <v>17</v>
      </c>
      <c r="B18" s="15" t="s">
        <v>54</v>
      </c>
      <c r="C18" s="16" t="s">
        <v>61</v>
      </c>
      <c r="D18" s="15" t="s">
        <v>17</v>
      </c>
      <c r="E18" s="15" t="s">
        <v>18</v>
      </c>
      <c r="F18" s="15" t="s">
        <v>19</v>
      </c>
      <c r="G18" s="15">
        <v>2026</v>
      </c>
      <c r="H18" s="15">
        <v>0.5</v>
      </c>
      <c r="I18" s="15">
        <v>1.5</v>
      </c>
      <c r="J18" s="15" t="s">
        <v>62</v>
      </c>
      <c r="K18" s="28" t="s">
        <v>24</v>
      </c>
      <c r="L18" s="16" t="s">
        <v>63</v>
      </c>
      <c r="M18" s="16" t="s">
        <v>22</v>
      </c>
      <c r="N18" s="16" t="s">
        <v>22</v>
      </c>
      <c r="O18" s="16" t="s">
        <v>23</v>
      </c>
    </row>
    <row r="19" spans="1:15" s="37" customFormat="1" ht="60" x14ac:dyDescent="0.25">
      <c r="A19" s="37">
        <f t="shared" si="0"/>
        <v>18</v>
      </c>
      <c r="B19" s="47" t="s">
        <v>64</v>
      </c>
      <c r="C19" s="48" t="s">
        <v>65</v>
      </c>
      <c r="D19" s="49" t="s">
        <v>17</v>
      </c>
      <c r="E19" s="49" t="s">
        <v>18</v>
      </c>
      <c r="F19" s="49" t="s">
        <v>19</v>
      </c>
      <c r="G19" s="37">
        <v>2026</v>
      </c>
      <c r="H19" s="37">
        <v>0.5</v>
      </c>
      <c r="I19" s="37">
        <v>1.5</v>
      </c>
      <c r="J19" s="47" t="s">
        <v>66</v>
      </c>
      <c r="K19" s="50" t="s">
        <v>24</v>
      </c>
      <c r="L19" s="48" t="s">
        <v>67</v>
      </c>
      <c r="M19" s="48" t="s">
        <v>68</v>
      </c>
      <c r="N19" s="38" t="s">
        <v>22</v>
      </c>
      <c r="O19" s="38" t="s">
        <v>23</v>
      </c>
    </row>
    <row r="20" spans="1:15" ht="60" x14ac:dyDescent="0.25">
      <c r="A20" s="15">
        <f t="shared" si="0"/>
        <v>19</v>
      </c>
      <c r="B20" s="15" t="s">
        <v>25</v>
      </c>
      <c r="C20" s="16" t="s">
        <v>69</v>
      </c>
      <c r="D20" s="15" t="s">
        <v>17</v>
      </c>
      <c r="E20" s="15" t="s">
        <v>18</v>
      </c>
      <c r="F20" s="15" t="s">
        <v>19</v>
      </c>
      <c r="G20" s="15">
        <v>2026</v>
      </c>
      <c r="H20" s="15">
        <v>0.5</v>
      </c>
      <c r="I20" s="15">
        <v>1.5</v>
      </c>
      <c r="J20" s="15" t="s">
        <v>27</v>
      </c>
      <c r="K20" s="28" t="s">
        <v>24</v>
      </c>
      <c r="L20" s="16" t="s">
        <v>70</v>
      </c>
      <c r="M20" s="16" t="s">
        <v>22</v>
      </c>
      <c r="N20" s="16" t="s">
        <v>22</v>
      </c>
      <c r="O20" s="16" t="s">
        <v>23</v>
      </c>
    </row>
    <row r="21" spans="1:15" ht="60" x14ac:dyDescent="0.25">
      <c r="A21" s="15">
        <f t="shared" si="0"/>
        <v>20</v>
      </c>
      <c r="B21" s="15" t="s">
        <v>25</v>
      </c>
      <c r="C21" s="16" t="s">
        <v>71</v>
      </c>
      <c r="D21" s="15" t="s">
        <v>17</v>
      </c>
      <c r="E21" s="15" t="s">
        <v>18</v>
      </c>
      <c r="F21" s="15" t="s">
        <v>19</v>
      </c>
      <c r="G21" s="15">
        <v>2026</v>
      </c>
      <c r="H21" s="15">
        <v>0.5</v>
      </c>
      <c r="I21" s="15">
        <v>1.5</v>
      </c>
      <c r="J21" s="15" t="s">
        <v>27</v>
      </c>
      <c r="K21" s="28" t="s">
        <v>24</v>
      </c>
      <c r="L21" s="16" t="s">
        <v>72</v>
      </c>
      <c r="M21" s="16" t="s">
        <v>22</v>
      </c>
      <c r="N21" s="16" t="s">
        <v>22</v>
      </c>
      <c r="O21" s="16" t="s">
        <v>23</v>
      </c>
    </row>
    <row r="22" spans="1:15" ht="60" x14ac:dyDescent="0.25">
      <c r="A22" s="15">
        <f t="shared" si="0"/>
        <v>21</v>
      </c>
      <c r="B22" s="15" t="s">
        <v>73</v>
      </c>
      <c r="C22" s="16" t="s">
        <v>73</v>
      </c>
      <c r="D22" s="15" t="s">
        <v>17</v>
      </c>
      <c r="E22" s="15" t="s">
        <v>18</v>
      </c>
      <c r="F22" s="15" t="s">
        <v>19</v>
      </c>
      <c r="G22" s="15">
        <v>2026</v>
      </c>
      <c r="H22" s="29">
        <v>0.87</v>
      </c>
      <c r="I22" s="29">
        <v>1.1299999999999999</v>
      </c>
      <c r="J22" s="15" t="s">
        <v>56</v>
      </c>
      <c r="K22" s="28" t="s">
        <v>24</v>
      </c>
      <c r="L22" s="42" t="s">
        <v>74</v>
      </c>
      <c r="M22" s="16" t="s">
        <v>75</v>
      </c>
      <c r="N22" s="16" t="s">
        <v>22</v>
      </c>
      <c r="O22" s="16" t="s">
        <v>23</v>
      </c>
    </row>
    <row r="23" spans="1:15" s="40" customFormat="1" ht="60" x14ac:dyDescent="0.25">
      <c r="A23" s="37">
        <f t="shared" si="0"/>
        <v>22</v>
      </c>
      <c r="B23" s="37" t="s">
        <v>15</v>
      </c>
      <c r="C23" s="38" t="s">
        <v>76</v>
      </c>
      <c r="D23" s="37" t="s">
        <v>17</v>
      </c>
      <c r="E23" s="37" t="s">
        <v>18</v>
      </c>
      <c r="F23" s="37" t="s">
        <v>19</v>
      </c>
      <c r="G23" s="37">
        <v>2026</v>
      </c>
      <c r="H23" s="37">
        <v>0.5</v>
      </c>
      <c r="I23" s="37">
        <v>1.5</v>
      </c>
      <c r="J23" s="37" t="s">
        <v>20</v>
      </c>
      <c r="K23" s="39" t="s">
        <v>21</v>
      </c>
      <c r="L23" s="38" t="s">
        <v>77</v>
      </c>
      <c r="M23" s="38" t="s">
        <v>22</v>
      </c>
      <c r="N23" s="38" t="s">
        <v>22</v>
      </c>
      <c r="O23" s="38" t="s">
        <v>23</v>
      </c>
    </row>
    <row r="24" spans="1:15" s="51" customFormat="1" ht="75" x14ac:dyDescent="0.25">
      <c r="A24" s="37">
        <f t="shared" si="0"/>
        <v>23</v>
      </c>
      <c r="B24" s="43" t="s">
        <v>15</v>
      </c>
      <c r="C24" s="44" t="s">
        <v>76</v>
      </c>
      <c r="D24" s="43" t="s">
        <v>17</v>
      </c>
      <c r="E24" s="43" t="s">
        <v>18</v>
      </c>
      <c r="F24" s="43" t="s">
        <v>19</v>
      </c>
      <c r="G24" s="43">
        <v>2026</v>
      </c>
      <c r="H24" s="43">
        <v>1</v>
      </c>
      <c r="I24" s="43">
        <v>2</v>
      </c>
      <c r="J24" s="43" t="s">
        <v>142</v>
      </c>
      <c r="K24" s="45" t="s">
        <v>24</v>
      </c>
      <c r="L24" s="52" t="s">
        <v>38</v>
      </c>
      <c r="M24" s="44" t="s">
        <v>22</v>
      </c>
      <c r="N24" s="44" t="s">
        <v>22</v>
      </c>
      <c r="O24" s="44" t="s">
        <v>23</v>
      </c>
    </row>
    <row r="25" spans="1:15" s="40" customFormat="1" ht="60" x14ac:dyDescent="0.25">
      <c r="A25" s="37">
        <f t="shared" si="0"/>
        <v>24</v>
      </c>
      <c r="B25" s="37" t="s">
        <v>15</v>
      </c>
      <c r="C25" s="38" t="s">
        <v>78</v>
      </c>
      <c r="D25" s="37" t="s">
        <v>17</v>
      </c>
      <c r="E25" s="37" t="s">
        <v>18</v>
      </c>
      <c r="F25" s="37" t="s">
        <v>19</v>
      </c>
      <c r="G25" s="37">
        <v>2026</v>
      </c>
      <c r="H25" s="37">
        <v>0.5</v>
      </c>
      <c r="I25" s="41">
        <v>1</v>
      </c>
      <c r="J25" s="37" t="s">
        <v>20</v>
      </c>
      <c r="K25" s="39" t="s">
        <v>24</v>
      </c>
      <c r="L25" s="38" t="s">
        <v>79</v>
      </c>
      <c r="M25" s="38" t="s">
        <v>22</v>
      </c>
      <c r="N25" s="38" t="s">
        <v>22</v>
      </c>
      <c r="O25" s="38" t="s">
        <v>23</v>
      </c>
    </row>
    <row r="26" spans="1:15" ht="60" x14ac:dyDescent="0.25">
      <c r="A26" s="15">
        <f t="shared" si="0"/>
        <v>25</v>
      </c>
      <c r="B26" s="29" t="s">
        <v>80</v>
      </c>
      <c r="C26" s="30" t="s">
        <v>81</v>
      </c>
      <c r="D26" s="29" t="s">
        <v>17</v>
      </c>
      <c r="E26" s="29" t="s">
        <v>82</v>
      </c>
      <c r="F26" s="29" t="s">
        <v>19</v>
      </c>
      <c r="G26" s="29">
        <v>2027</v>
      </c>
      <c r="H26" s="29">
        <v>8</v>
      </c>
      <c r="I26" s="29">
        <v>20</v>
      </c>
      <c r="J26" s="29" t="s">
        <v>83</v>
      </c>
      <c r="K26" s="31" t="s">
        <v>24</v>
      </c>
      <c r="L26" s="30" t="s">
        <v>45</v>
      </c>
      <c r="M26" s="26" t="s">
        <v>22</v>
      </c>
      <c r="N26" s="26" t="s">
        <v>22</v>
      </c>
      <c r="O26" s="26" t="s">
        <v>23</v>
      </c>
    </row>
    <row r="27" spans="1:15" x14ac:dyDescent="0.25"/>
    <row r="28" spans="1:15" x14ac:dyDescent="0.25"/>
    <row r="29" spans="1:15" x14ac:dyDescent="0.25"/>
    <row r="30" spans="1:15" x14ac:dyDescent="0.25"/>
    <row r="31" spans="1:15" x14ac:dyDescent="0.25"/>
    <row r="32" spans="1:15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</sheetData>
  <autoFilter ref="A1:O1" xr:uid="{95B5B787-8749-47D9-9D7A-FB53FE5A30D3}"/>
  <phoneticPr fontId="4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BD12E-40AD-42BC-9E38-C5D5CF6C4FA5}">
  <dimension ref="A1:J2"/>
  <sheetViews>
    <sheetView workbookViewId="0">
      <selection activeCell="A2" sqref="A2"/>
    </sheetView>
  </sheetViews>
  <sheetFormatPr defaultColWidth="15.5703125" defaultRowHeight="15" x14ac:dyDescent="0.25"/>
  <cols>
    <col min="1" max="1" width="16.5703125" bestFit="1" customWidth="1"/>
    <col min="2" max="2" width="22.42578125" bestFit="1" customWidth="1"/>
    <col min="3" max="3" width="14.28515625" bestFit="1" customWidth="1"/>
    <col min="4" max="4" width="12.140625" bestFit="1" customWidth="1"/>
    <col min="6" max="6" width="16.140625" bestFit="1" customWidth="1"/>
    <col min="9" max="9" width="24.5703125" bestFit="1" customWidth="1"/>
  </cols>
  <sheetData>
    <row r="1" spans="1:10" ht="15.75" thickBot="1" x14ac:dyDescent="0.3">
      <c r="A1" s="1" t="s">
        <v>84</v>
      </c>
      <c r="B1" s="1" t="s">
        <v>85</v>
      </c>
      <c r="C1" s="4" t="s">
        <v>86</v>
      </c>
      <c r="D1" s="6" t="s">
        <v>87</v>
      </c>
      <c r="E1" s="7" t="s">
        <v>88</v>
      </c>
      <c r="F1" s="10" t="s">
        <v>89</v>
      </c>
      <c r="G1" s="11" t="s">
        <v>90</v>
      </c>
      <c r="H1" s="11" t="s">
        <v>91</v>
      </c>
      <c r="I1" s="10" t="s">
        <v>92</v>
      </c>
      <c r="J1" s="25" t="s">
        <v>93</v>
      </c>
    </row>
    <row r="2" spans="1:10" ht="15.75" thickBot="1" x14ac:dyDescent="0.3">
      <c r="A2" s="2">
        <v>10</v>
      </c>
      <c r="B2" s="2" t="s">
        <v>94</v>
      </c>
      <c r="C2" s="5">
        <v>1</v>
      </c>
      <c r="D2" s="8">
        <v>20</v>
      </c>
      <c r="E2" s="9">
        <v>8</v>
      </c>
      <c r="F2" s="12" t="s">
        <v>95</v>
      </c>
      <c r="G2" s="2" t="s">
        <v>95</v>
      </c>
      <c r="H2" s="2" t="s">
        <v>96</v>
      </c>
      <c r="I2" s="2" t="s">
        <v>97</v>
      </c>
      <c r="J2" s="24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5350F-2181-46D9-957F-C928CA3CEF59}">
  <dimension ref="A1:BG5"/>
  <sheetViews>
    <sheetView topLeftCell="AY1" workbookViewId="0">
      <selection activeCell="BD2" sqref="BD2"/>
    </sheetView>
  </sheetViews>
  <sheetFormatPr defaultRowHeight="15" x14ac:dyDescent="0.25"/>
  <cols>
    <col min="1" max="1" width="10.28515625" bestFit="1" customWidth="1"/>
    <col min="2" max="2" width="8.85546875" bestFit="1" customWidth="1"/>
    <col min="3" max="3" width="12.7109375" bestFit="1" customWidth="1"/>
    <col min="4" max="4" width="15.5703125" bestFit="1" customWidth="1"/>
    <col min="5" max="5" width="11.28515625" bestFit="1" customWidth="1"/>
    <col min="6" max="6" width="19.7109375" bestFit="1" customWidth="1"/>
    <col min="7" max="7" width="12.42578125" bestFit="1" customWidth="1"/>
    <col min="8" max="9" width="12.7109375" bestFit="1" customWidth="1"/>
    <col min="10" max="10" width="8.28515625" bestFit="1" customWidth="1"/>
    <col min="11" max="11" width="14.5703125" bestFit="1" customWidth="1"/>
    <col min="12" max="12" width="23.42578125" bestFit="1" customWidth="1"/>
    <col min="13" max="13" width="23.140625" bestFit="1" customWidth="1"/>
    <col min="14" max="14" width="26.85546875" bestFit="1" customWidth="1"/>
    <col min="15" max="15" width="21.42578125" bestFit="1" customWidth="1"/>
    <col min="16" max="16" width="21" bestFit="1" customWidth="1"/>
    <col min="17" max="17" width="28.7109375" bestFit="1" customWidth="1"/>
    <col min="18" max="18" width="14" bestFit="1" customWidth="1"/>
    <col min="19" max="19" width="16.5703125" bestFit="1" customWidth="1"/>
    <col min="20" max="20" width="15" bestFit="1" customWidth="1"/>
    <col min="21" max="21" width="16.140625" bestFit="1" customWidth="1"/>
    <col min="22" max="22" width="17.28515625" bestFit="1" customWidth="1"/>
    <col min="23" max="23" width="24.42578125" bestFit="1" customWidth="1"/>
    <col min="24" max="24" width="24.7109375" bestFit="1" customWidth="1"/>
    <col min="25" max="25" width="18.85546875" bestFit="1" customWidth="1"/>
    <col min="26" max="26" width="10.140625" bestFit="1" customWidth="1"/>
    <col min="27" max="27" width="11" bestFit="1" customWidth="1"/>
    <col min="28" max="28" width="12.28515625" bestFit="1" customWidth="1"/>
    <col min="29" max="29" width="9.7109375" bestFit="1" customWidth="1"/>
    <col min="30" max="30" width="18" bestFit="1" customWidth="1"/>
    <col min="31" max="31" width="23.28515625" bestFit="1" customWidth="1"/>
    <col min="32" max="32" width="23" bestFit="1" customWidth="1"/>
    <col min="33" max="33" width="33.85546875" bestFit="1" customWidth="1"/>
    <col min="34" max="34" width="33.42578125" bestFit="1" customWidth="1"/>
    <col min="35" max="36" width="39.42578125" bestFit="1" customWidth="1"/>
    <col min="37" max="38" width="44.85546875" bestFit="1" customWidth="1"/>
    <col min="39" max="39" width="20.42578125" bestFit="1" customWidth="1"/>
    <col min="40" max="40" width="19.85546875" bestFit="1" customWidth="1"/>
    <col min="41" max="41" width="25.28515625" bestFit="1" customWidth="1"/>
    <col min="42" max="42" width="16.5703125" bestFit="1" customWidth="1"/>
    <col min="43" max="43" width="29.42578125" bestFit="1" customWidth="1"/>
    <col min="44" max="44" width="22.85546875" bestFit="1" customWidth="1"/>
    <col min="45" max="45" width="20.28515625" bestFit="1" customWidth="1"/>
    <col min="46" max="46" width="16.7109375" bestFit="1" customWidth="1"/>
    <col min="47" max="47" width="17.5703125" bestFit="1" customWidth="1"/>
    <col min="48" max="48" width="22" bestFit="1" customWidth="1"/>
    <col min="49" max="49" width="18" bestFit="1" customWidth="1"/>
    <col min="50" max="50" width="23.140625" bestFit="1" customWidth="1"/>
    <col min="51" max="51" width="38" bestFit="1" customWidth="1"/>
    <col min="52" max="52" width="38.7109375" bestFit="1" customWidth="1"/>
    <col min="53" max="54" width="35.85546875" bestFit="1" customWidth="1"/>
    <col min="55" max="55" width="12.5703125" bestFit="1" customWidth="1"/>
    <col min="56" max="56" width="20.5703125" bestFit="1" customWidth="1"/>
    <col min="57" max="57" width="25.7109375" bestFit="1" customWidth="1"/>
    <col min="58" max="58" width="26" bestFit="1" customWidth="1"/>
    <col min="59" max="59" width="7.7109375" bestFit="1" customWidth="1"/>
  </cols>
  <sheetData>
    <row r="1" spans="1:59" x14ac:dyDescent="0.25">
      <c r="A1" t="s">
        <v>99</v>
      </c>
      <c r="B1" t="s">
        <v>100</v>
      </c>
      <c r="C1" s="13" t="s">
        <v>101</v>
      </c>
      <c r="D1" s="13" t="s">
        <v>102</v>
      </c>
      <c r="E1" s="13" t="s">
        <v>103</v>
      </c>
      <c r="F1" s="13" t="s">
        <v>104</v>
      </c>
      <c r="G1" s="13" t="s">
        <v>105</v>
      </c>
      <c r="H1" s="13" t="s">
        <v>106</v>
      </c>
      <c r="I1" s="13" t="s">
        <v>107</v>
      </c>
      <c r="J1" t="s">
        <v>108</v>
      </c>
      <c r="K1" t="s">
        <v>109</v>
      </c>
      <c r="L1" t="s">
        <v>110</v>
      </c>
      <c r="M1" t="s">
        <v>111</v>
      </c>
      <c r="N1" t="s">
        <v>20</v>
      </c>
      <c r="O1" s="13" t="s">
        <v>112</v>
      </c>
      <c r="P1" s="13" t="s">
        <v>113</v>
      </c>
      <c r="Q1" t="s">
        <v>114</v>
      </c>
      <c r="R1" t="s">
        <v>115</v>
      </c>
      <c r="S1" t="s">
        <v>116</v>
      </c>
      <c r="T1" s="13" t="s">
        <v>117</v>
      </c>
      <c r="U1" t="s">
        <v>118</v>
      </c>
      <c r="V1" t="s">
        <v>119</v>
      </c>
      <c r="W1" t="s">
        <v>120</v>
      </c>
      <c r="X1" t="s">
        <v>121</v>
      </c>
      <c r="Y1" t="s">
        <v>50</v>
      </c>
      <c r="Z1" s="13" t="s">
        <v>122</v>
      </c>
      <c r="AA1" t="s">
        <v>27</v>
      </c>
      <c r="AB1" t="s">
        <v>37</v>
      </c>
      <c r="AC1" t="s">
        <v>31</v>
      </c>
      <c r="AD1" t="s">
        <v>123</v>
      </c>
      <c r="AE1" t="s">
        <v>124</v>
      </c>
      <c r="AF1" t="s">
        <v>125</v>
      </c>
      <c r="AG1" t="s">
        <v>126</v>
      </c>
      <c r="AH1" t="s">
        <v>127</v>
      </c>
      <c r="AI1" t="s">
        <v>83</v>
      </c>
      <c r="AJ1" t="s">
        <v>128</v>
      </c>
      <c r="AK1" t="s">
        <v>129</v>
      </c>
      <c r="AL1" t="s">
        <v>130</v>
      </c>
      <c r="AM1" t="s">
        <v>131</v>
      </c>
      <c r="AN1" t="s">
        <v>132</v>
      </c>
      <c r="AO1" s="13" t="s">
        <v>133</v>
      </c>
      <c r="AP1" t="s">
        <v>134</v>
      </c>
      <c r="AQ1" t="s">
        <v>135</v>
      </c>
      <c r="AR1" s="13" t="s">
        <v>136</v>
      </c>
      <c r="AS1" s="13" t="s">
        <v>137</v>
      </c>
      <c r="AT1" s="13" t="s">
        <v>138</v>
      </c>
      <c r="AU1" t="s">
        <v>139</v>
      </c>
      <c r="AV1" s="13" t="s">
        <v>140</v>
      </c>
      <c r="AW1" t="s">
        <v>123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s="14" t="s">
        <v>62</v>
      </c>
      <c r="BD1" s="14" t="s">
        <v>66</v>
      </c>
      <c r="BE1" s="14" t="s">
        <v>146</v>
      </c>
      <c r="BF1" s="14" t="s">
        <v>56</v>
      </c>
      <c r="BG1" s="13" t="s">
        <v>147</v>
      </c>
    </row>
    <row r="2" spans="1:59" x14ac:dyDescent="0.25">
      <c r="A2" t="s">
        <v>148</v>
      </c>
      <c r="B2">
        <f t="shared" ref="B2:AQ2" si="0">+COUNTA(B3:B1048576)</f>
        <v>1</v>
      </c>
      <c r="C2" s="13">
        <f t="shared" si="0"/>
        <v>1</v>
      </c>
      <c r="D2" s="13">
        <f t="shared" si="0"/>
        <v>1</v>
      </c>
      <c r="E2" s="13">
        <f t="shared" si="0"/>
        <v>1</v>
      </c>
      <c r="F2" s="13">
        <f t="shared" si="0"/>
        <v>1</v>
      </c>
      <c r="G2" s="13">
        <f t="shared" si="0"/>
        <v>1</v>
      </c>
      <c r="H2" s="13">
        <f t="shared" si="0"/>
        <v>1</v>
      </c>
      <c r="I2" s="13">
        <f t="shared" si="0"/>
        <v>1</v>
      </c>
      <c r="J2">
        <f t="shared" si="0"/>
        <v>1</v>
      </c>
      <c r="K2">
        <f t="shared" si="0"/>
        <v>1</v>
      </c>
      <c r="L2">
        <f t="shared" si="0"/>
        <v>1</v>
      </c>
      <c r="M2">
        <f t="shared" si="0"/>
        <v>2</v>
      </c>
      <c r="N2">
        <f t="shared" si="0"/>
        <v>1</v>
      </c>
      <c r="O2" s="13">
        <f t="shared" si="0"/>
        <v>1</v>
      </c>
      <c r="P2" s="13">
        <f t="shared" si="0"/>
        <v>1</v>
      </c>
      <c r="Q2">
        <f t="shared" si="0"/>
        <v>1</v>
      </c>
      <c r="R2">
        <f t="shared" si="0"/>
        <v>2</v>
      </c>
      <c r="S2">
        <f t="shared" si="0"/>
        <v>1</v>
      </c>
      <c r="T2" s="13">
        <f t="shared" si="0"/>
        <v>1</v>
      </c>
      <c r="U2">
        <f t="shared" si="0"/>
        <v>1</v>
      </c>
      <c r="V2">
        <f t="shared" si="0"/>
        <v>3</v>
      </c>
      <c r="W2">
        <f t="shared" si="0"/>
        <v>2</v>
      </c>
      <c r="X2">
        <f t="shared" si="0"/>
        <v>2</v>
      </c>
      <c r="Y2">
        <f t="shared" si="0"/>
        <v>3</v>
      </c>
      <c r="Z2" s="13">
        <f t="shared" si="0"/>
        <v>1</v>
      </c>
      <c r="AA2">
        <f t="shared" si="0"/>
        <v>1</v>
      </c>
      <c r="AB2">
        <f t="shared" si="0"/>
        <v>2</v>
      </c>
      <c r="AC2">
        <f t="shared" si="0"/>
        <v>1</v>
      </c>
      <c r="AD2">
        <f t="shared" si="0"/>
        <v>1</v>
      </c>
      <c r="AE2">
        <f t="shared" si="0"/>
        <v>1</v>
      </c>
      <c r="AF2">
        <f t="shared" si="0"/>
        <v>1</v>
      </c>
      <c r="AG2">
        <f t="shared" si="0"/>
        <v>1</v>
      </c>
      <c r="AH2">
        <f t="shared" si="0"/>
        <v>1</v>
      </c>
      <c r="AI2">
        <f t="shared" si="0"/>
        <v>1</v>
      </c>
      <c r="AJ2">
        <f t="shared" si="0"/>
        <v>1</v>
      </c>
      <c r="AK2">
        <f t="shared" si="0"/>
        <v>1</v>
      </c>
      <c r="AL2">
        <f t="shared" si="0"/>
        <v>1</v>
      </c>
      <c r="AM2">
        <f t="shared" si="0"/>
        <v>3</v>
      </c>
      <c r="AN2">
        <f t="shared" si="0"/>
        <v>1</v>
      </c>
      <c r="AO2" s="13">
        <f t="shared" si="0"/>
        <v>1</v>
      </c>
      <c r="AP2">
        <f t="shared" si="0"/>
        <v>1</v>
      </c>
      <c r="AQ2">
        <f t="shared" si="0"/>
        <v>3</v>
      </c>
      <c r="AR2" s="13">
        <f>+COUNTA(AR3:AR5)</f>
        <v>3</v>
      </c>
      <c r="AS2" s="13">
        <f>+COUNTA(AS3:AS5)</f>
        <v>3</v>
      </c>
      <c r="AT2" s="13">
        <f t="shared" ref="AT2:BG2" si="1">+COUNTA(AT3:AT6)</f>
        <v>1</v>
      </c>
      <c r="AU2">
        <f t="shared" si="1"/>
        <v>1</v>
      </c>
      <c r="AV2" s="13">
        <f t="shared" si="1"/>
        <v>2</v>
      </c>
      <c r="AW2">
        <f t="shared" si="1"/>
        <v>1</v>
      </c>
      <c r="AX2">
        <f t="shared" si="1"/>
        <v>1</v>
      </c>
      <c r="AY2">
        <f t="shared" si="1"/>
        <v>2</v>
      </c>
      <c r="AZ2">
        <f t="shared" si="1"/>
        <v>2</v>
      </c>
      <c r="BA2">
        <f t="shared" si="1"/>
        <v>2</v>
      </c>
      <c r="BB2">
        <f t="shared" si="1"/>
        <v>2</v>
      </c>
      <c r="BC2" s="14">
        <f t="shared" si="1"/>
        <v>1</v>
      </c>
      <c r="BD2" s="14">
        <f t="shared" si="1"/>
        <v>2</v>
      </c>
      <c r="BE2" s="14">
        <f t="shared" si="1"/>
        <v>2</v>
      </c>
      <c r="BF2" s="14">
        <f t="shared" si="1"/>
        <v>2</v>
      </c>
      <c r="BG2" s="13">
        <f t="shared" si="1"/>
        <v>2</v>
      </c>
    </row>
    <row r="3" spans="1:59" x14ac:dyDescent="0.25">
      <c r="B3" t="s">
        <v>149</v>
      </c>
      <c r="C3" s="13" t="s">
        <v>150</v>
      </c>
      <c r="D3" s="13" t="s">
        <v>150</v>
      </c>
      <c r="E3" s="13" t="s">
        <v>150</v>
      </c>
      <c r="F3" s="13" t="s">
        <v>150</v>
      </c>
      <c r="G3" s="13" t="s">
        <v>149</v>
      </c>
      <c r="H3" s="13" t="s">
        <v>149</v>
      </c>
      <c r="I3" s="13" t="s">
        <v>149</v>
      </c>
      <c r="J3" t="s">
        <v>151</v>
      </c>
      <c r="K3" t="s">
        <v>152</v>
      </c>
      <c r="L3" t="s">
        <v>153</v>
      </c>
      <c r="M3" t="s">
        <v>153</v>
      </c>
      <c r="N3" t="s">
        <v>153</v>
      </c>
      <c r="O3" s="13" t="s">
        <v>150</v>
      </c>
      <c r="P3" s="13" t="s">
        <v>150</v>
      </c>
      <c r="Q3" t="s">
        <v>154</v>
      </c>
      <c r="R3" t="s">
        <v>154</v>
      </c>
      <c r="S3" t="s">
        <v>154</v>
      </c>
      <c r="T3" s="13" t="s">
        <v>150</v>
      </c>
      <c r="U3" t="s">
        <v>154</v>
      </c>
      <c r="V3" t="s">
        <v>154</v>
      </c>
      <c r="W3" t="s">
        <v>154</v>
      </c>
      <c r="X3" t="s">
        <v>154</v>
      </c>
      <c r="Y3" t="s">
        <v>154</v>
      </c>
      <c r="Z3" s="13" t="s">
        <v>150</v>
      </c>
      <c r="AA3" t="s">
        <v>154</v>
      </c>
      <c r="AB3" t="s">
        <v>154</v>
      </c>
      <c r="AC3" t="s">
        <v>154</v>
      </c>
      <c r="AD3" t="s">
        <v>155</v>
      </c>
      <c r="AE3" t="s">
        <v>154</v>
      </c>
      <c r="AF3" t="s">
        <v>154</v>
      </c>
      <c r="AG3" t="s">
        <v>154</v>
      </c>
      <c r="AH3" t="s">
        <v>154</v>
      </c>
      <c r="AI3" t="s">
        <v>154</v>
      </c>
      <c r="AJ3" t="s">
        <v>154</v>
      </c>
      <c r="AK3" t="s">
        <v>154</v>
      </c>
      <c r="AL3" t="s">
        <v>154</v>
      </c>
      <c r="AM3" t="s">
        <v>154</v>
      </c>
      <c r="AN3" t="s">
        <v>156</v>
      </c>
      <c r="AO3" s="13" t="s">
        <v>156</v>
      </c>
      <c r="AP3" t="s">
        <v>156</v>
      </c>
      <c r="AQ3" t="s">
        <v>154</v>
      </c>
      <c r="AR3" s="13" t="s">
        <v>154</v>
      </c>
      <c r="AS3" s="13" t="s">
        <v>154</v>
      </c>
      <c r="AT3" s="13" t="s">
        <v>155</v>
      </c>
      <c r="AU3" t="s">
        <v>155</v>
      </c>
      <c r="AV3" s="13" t="s">
        <v>150</v>
      </c>
      <c r="AW3" t="s">
        <v>155</v>
      </c>
      <c r="AX3" t="s">
        <v>155</v>
      </c>
      <c r="AY3" t="s">
        <v>154</v>
      </c>
      <c r="AZ3" t="s">
        <v>154</v>
      </c>
      <c r="BA3" t="s">
        <v>154</v>
      </c>
      <c r="BB3" t="s">
        <v>154</v>
      </c>
      <c r="BC3" s="14" t="s">
        <v>157</v>
      </c>
      <c r="BD3" s="14" t="s">
        <v>154</v>
      </c>
      <c r="BE3" s="14" t="s">
        <v>154</v>
      </c>
      <c r="BF3" s="14" t="s">
        <v>154</v>
      </c>
      <c r="BG3" s="13" t="s">
        <v>150</v>
      </c>
    </row>
    <row r="4" spans="1:59" x14ac:dyDescent="0.25">
      <c r="C4" s="13"/>
      <c r="D4" s="13"/>
      <c r="E4" s="13"/>
      <c r="F4" s="13"/>
      <c r="G4" s="13"/>
      <c r="H4" s="13"/>
      <c r="I4" s="13"/>
      <c r="M4" t="s">
        <v>149</v>
      </c>
      <c r="O4" s="13"/>
      <c r="P4" s="13"/>
      <c r="R4" t="s">
        <v>149</v>
      </c>
      <c r="T4" s="13"/>
      <c r="V4" t="s">
        <v>153</v>
      </c>
      <c r="W4" t="s">
        <v>153</v>
      </c>
      <c r="X4" t="s">
        <v>153</v>
      </c>
      <c r="Y4" t="s">
        <v>153</v>
      </c>
      <c r="Z4" s="13"/>
      <c r="AB4" t="s">
        <v>158</v>
      </c>
      <c r="AM4" t="s">
        <v>156</v>
      </c>
      <c r="AO4" s="13"/>
      <c r="AQ4" t="s">
        <v>156</v>
      </c>
      <c r="AR4" s="13" t="s">
        <v>155</v>
      </c>
      <c r="AS4" s="13" t="s">
        <v>155</v>
      </c>
      <c r="AT4" s="13"/>
      <c r="AV4" s="13" t="s">
        <v>155</v>
      </c>
      <c r="AY4" t="s">
        <v>158</v>
      </c>
      <c r="AZ4" t="s">
        <v>158</v>
      </c>
      <c r="BA4" t="s">
        <v>158</v>
      </c>
      <c r="BB4" t="s">
        <v>158</v>
      </c>
      <c r="BC4" s="14"/>
      <c r="BD4" s="14" t="s">
        <v>157</v>
      </c>
      <c r="BE4" s="14" t="s">
        <v>157</v>
      </c>
      <c r="BF4" s="14" t="s">
        <v>157</v>
      </c>
      <c r="BG4" s="13" t="s">
        <v>157</v>
      </c>
    </row>
    <row r="5" spans="1:59" x14ac:dyDescent="0.25">
      <c r="C5" s="13"/>
      <c r="D5" s="13"/>
      <c r="E5" s="13"/>
      <c r="F5" s="13"/>
      <c r="G5" s="13"/>
      <c r="H5" s="13"/>
      <c r="I5" s="13"/>
      <c r="O5" s="13"/>
      <c r="P5" s="13"/>
      <c r="T5" s="13"/>
      <c r="V5" t="s">
        <v>158</v>
      </c>
      <c r="Y5" t="s">
        <v>158</v>
      </c>
      <c r="Z5" s="13"/>
      <c r="AM5" t="s">
        <v>158</v>
      </c>
      <c r="AO5" s="13"/>
      <c r="AQ5" t="s">
        <v>158</v>
      </c>
      <c r="AR5" s="13" t="s">
        <v>158</v>
      </c>
      <c r="AS5" s="13" t="s">
        <v>158</v>
      </c>
      <c r="AT5" s="13"/>
      <c r="AV5" s="13"/>
      <c r="BC5" s="14"/>
      <c r="BD5" s="14"/>
      <c r="BE5" s="14"/>
      <c r="BF5" s="14"/>
      <c r="BG5" s="13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A0652-0771-4DB6-84D0-EEBD0FFCEFAB}">
  <dimension ref="A1:B41"/>
  <sheetViews>
    <sheetView workbookViewId="0">
      <selection activeCell="D25" sqref="D25"/>
    </sheetView>
  </sheetViews>
  <sheetFormatPr defaultRowHeight="15" x14ac:dyDescent="0.25"/>
  <cols>
    <col min="1" max="1" width="36.7109375" bestFit="1" customWidth="1"/>
    <col min="2" max="2" width="6.42578125" style="3" bestFit="1" customWidth="1"/>
  </cols>
  <sheetData>
    <row r="1" spans="1:2" x14ac:dyDescent="0.25">
      <c r="A1" t="s">
        <v>159</v>
      </c>
      <c r="B1" s="3" t="s">
        <v>160</v>
      </c>
    </row>
    <row r="2" spans="1:2" x14ac:dyDescent="0.25">
      <c r="A2" t="s">
        <v>161</v>
      </c>
    </row>
    <row r="3" spans="1:2" x14ac:dyDescent="0.25">
      <c r="A3" t="s">
        <v>162</v>
      </c>
      <c r="B3" s="3" t="s">
        <v>163</v>
      </c>
    </row>
    <row r="4" spans="1:2" x14ac:dyDescent="0.25">
      <c r="A4" t="s">
        <v>164</v>
      </c>
      <c r="B4" s="3" t="s">
        <v>163</v>
      </c>
    </row>
    <row r="5" spans="1:2" x14ac:dyDescent="0.25">
      <c r="A5" t="s">
        <v>165</v>
      </c>
    </row>
    <row r="6" spans="1:2" x14ac:dyDescent="0.25">
      <c r="A6" t="s">
        <v>166</v>
      </c>
      <c r="B6" s="3" t="s">
        <v>163</v>
      </c>
    </row>
    <row r="7" spans="1:2" x14ac:dyDescent="0.25">
      <c r="A7" t="s">
        <v>167</v>
      </c>
      <c r="B7" s="3" t="s">
        <v>163</v>
      </c>
    </row>
    <row r="8" spans="1:2" x14ac:dyDescent="0.25">
      <c r="A8" t="s">
        <v>168</v>
      </c>
      <c r="B8" s="3" t="s">
        <v>163</v>
      </c>
    </row>
    <row r="9" spans="1:2" x14ac:dyDescent="0.25">
      <c r="A9" t="s">
        <v>169</v>
      </c>
    </row>
    <row r="10" spans="1:2" x14ac:dyDescent="0.25">
      <c r="A10" t="s">
        <v>170</v>
      </c>
    </row>
    <row r="11" spans="1:2" x14ac:dyDescent="0.25">
      <c r="A11" t="s">
        <v>171</v>
      </c>
    </row>
    <row r="12" spans="1:2" x14ac:dyDescent="0.25">
      <c r="A12" t="s">
        <v>172</v>
      </c>
      <c r="B12" s="3" t="s">
        <v>163</v>
      </c>
    </row>
    <row r="13" spans="1:2" x14ac:dyDescent="0.25">
      <c r="A13" t="s">
        <v>173</v>
      </c>
    </row>
    <row r="14" spans="1:2" x14ac:dyDescent="0.25">
      <c r="A14" t="s">
        <v>174</v>
      </c>
      <c r="B14" s="3" t="s">
        <v>163</v>
      </c>
    </row>
    <row r="15" spans="1:2" x14ac:dyDescent="0.25">
      <c r="A15" t="s">
        <v>175</v>
      </c>
    </row>
    <row r="16" spans="1:2" x14ac:dyDescent="0.25">
      <c r="A16" t="s">
        <v>176</v>
      </c>
    </row>
    <row r="17" spans="1:2" x14ac:dyDescent="0.25">
      <c r="A17" t="s">
        <v>177</v>
      </c>
    </row>
    <row r="18" spans="1:2" x14ac:dyDescent="0.25">
      <c r="A18" t="s">
        <v>178</v>
      </c>
    </row>
    <row r="19" spans="1:2" x14ac:dyDescent="0.25">
      <c r="A19" t="s">
        <v>179</v>
      </c>
      <c r="B19" s="3" t="s">
        <v>163</v>
      </c>
    </row>
    <row r="20" spans="1:2" x14ac:dyDescent="0.25">
      <c r="A20" t="s">
        <v>180</v>
      </c>
      <c r="B20" s="3" t="s">
        <v>163</v>
      </c>
    </row>
    <row r="21" spans="1:2" x14ac:dyDescent="0.25">
      <c r="A21" t="s">
        <v>181</v>
      </c>
    </row>
    <row r="22" spans="1:2" x14ac:dyDescent="0.25">
      <c r="A22" t="s">
        <v>182</v>
      </c>
    </row>
    <row r="23" spans="1:2" x14ac:dyDescent="0.25">
      <c r="A23" t="s">
        <v>183</v>
      </c>
    </row>
    <row r="24" spans="1:2" x14ac:dyDescent="0.25">
      <c r="A24" t="s">
        <v>184</v>
      </c>
    </row>
    <row r="25" spans="1:2" x14ac:dyDescent="0.25">
      <c r="A25" t="s">
        <v>185</v>
      </c>
    </row>
    <row r="26" spans="1:2" x14ac:dyDescent="0.25">
      <c r="A26" t="s">
        <v>186</v>
      </c>
    </row>
    <row r="27" spans="1:2" x14ac:dyDescent="0.25">
      <c r="A27" t="s">
        <v>187</v>
      </c>
    </row>
    <row r="28" spans="1:2" x14ac:dyDescent="0.25">
      <c r="A28" t="s">
        <v>188</v>
      </c>
    </row>
    <row r="29" spans="1:2" x14ac:dyDescent="0.25">
      <c r="A29" t="s">
        <v>189</v>
      </c>
    </row>
    <row r="30" spans="1:2" x14ac:dyDescent="0.25">
      <c r="A30" t="s">
        <v>190</v>
      </c>
    </row>
    <row r="31" spans="1:2" x14ac:dyDescent="0.25">
      <c r="A31" t="s">
        <v>191</v>
      </c>
    </row>
    <row r="32" spans="1:2" x14ac:dyDescent="0.25">
      <c r="A32" t="s">
        <v>192</v>
      </c>
    </row>
    <row r="33" spans="1:2" x14ac:dyDescent="0.25">
      <c r="A33" t="s">
        <v>193</v>
      </c>
    </row>
    <row r="34" spans="1:2" x14ac:dyDescent="0.25">
      <c r="A34" t="s">
        <v>194</v>
      </c>
    </row>
    <row r="35" spans="1:2" x14ac:dyDescent="0.25">
      <c r="A35" t="s">
        <v>195</v>
      </c>
    </row>
    <row r="36" spans="1:2" x14ac:dyDescent="0.25">
      <c r="A36" t="s">
        <v>196</v>
      </c>
    </row>
    <row r="37" spans="1:2" x14ac:dyDescent="0.25">
      <c r="A37" t="s">
        <v>197</v>
      </c>
    </row>
    <row r="38" spans="1:2" x14ac:dyDescent="0.25">
      <c r="A38" t="s">
        <v>198</v>
      </c>
      <c r="B38" s="3" t="s">
        <v>163</v>
      </c>
    </row>
    <row r="39" spans="1:2" x14ac:dyDescent="0.25">
      <c r="A39" t="s">
        <v>199</v>
      </c>
    </row>
    <row r="40" spans="1:2" x14ac:dyDescent="0.25">
      <c r="A40" t="s">
        <v>200</v>
      </c>
    </row>
    <row r="41" spans="1:2" x14ac:dyDescent="0.25">
      <c r="A41" t="s">
        <v>201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D73B84EC2FBA4AB6031CFB79C3D0E0" ma:contentTypeVersion="13" ma:contentTypeDescription="Create a new document." ma:contentTypeScope="" ma:versionID="1d8e6320e34b5f71545ca20c1fb39b21">
  <xsd:schema xmlns:xsd="http://www.w3.org/2001/XMLSchema" xmlns:xs="http://www.w3.org/2001/XMLSchema" xmlns:p="http://schemas.microsoft.com/office/2006/metadata/properties" xmlns:ns2="c4f98862-adfd-4d9c-a945-852f80f0eb51" xmlns:ns3="b9355cc9-2d41-4aa9-bfbc-bd016a1e1a01" targetNamespace="http://schemas.microsoft.com/office/2006/metadata/properties" ma:root="true" ma:fieldsID="3f42cd320e09c56919cd7e955403e252" ns2:_="" ns3:_="">
    <xsd:import namespace="c4f98862-adfd-4d9c-a945-852f80f0eb51"/>
    <xsd:import namespace="b9355cc9-2d41-4aa9-bfbc-bd016a1e1a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f98862-adfd-4d9c-a945-852f80f0eb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355cc9-2d41-4aa9-bfbc-bd016a1e1a0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f98862-adfd-4d9c-a945-852f80f0eb5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653E30-6791-4489-AE1B-B6DFD5392E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f98862-adfd-4d9c-a945-852f80f0eb51"/>
    <ds:schemaRef ds:uri="b9355cc9-2d41-4aa9-bfbc-bd016a1e1a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AAAAB53-0ECA-470A-A9D1-4E2A413E8F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E40288-91D1-4CD6-86D1-178CC2AEE7EC}">
  <ds:schemaRefs>
    <ds:schemaRef ds:uri="http://schemas.microsoft.com/office/2006/metadata/properties"/>
    <ds:schemaRef ds:uri="http://schemas.microsoft.com/office/infopath/2007/PartnerControls"/>
    <ds:schemaRef ds:uri="c4f98862-adfd-4d9c-a945-852f80f0eb5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Uncertainty_Table</vt:lpstr>
      <vt:lpstr>Setup</vt:lpstr>
      <vt:lpstr>Params_Sets_Vari</vt:lpstr>
      <vt:lpstr>To_Print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luisf</dc:creator>
  <cp:keywords/>
  <dc:description/>
  <cp:lastModifiedBy>Jeeno Soa George</cp:lastModifiedBy>
  <cp:revision/>
  <dcterms:created xsi:type="dcterms:W3CDTF">2019-11-14T00:08:08Z</dcterms:created>
  <dcterms:modified xsi:type="dcterms:W3CDTF">2026-03-03T08:45:30Z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0x010100BAD73B84EC2FBA4AB6031CFB79C3D0E0</vt:lpwstr>
  </property>
  <property fmtid="{D5CDD505-2E9C-101B-9397-08002B2CF9AE}" pid="3" name="MediaServiceImageTags">
    <vt:lpwstr/>
  </property>
</Properties>
</file>