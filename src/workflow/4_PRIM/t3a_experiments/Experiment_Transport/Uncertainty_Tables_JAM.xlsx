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IgnacioAlfaroCorrale\Desktop\Models_running\JAMAICA_parallel_v3\parallel_world\RDM\Experiment_Transport_test\osemosys_momf\t3a_experiments\Experiment_transport\"/>
    </mc:Choice>
  </mc:AlternateContent>
  <xr:revisionPtr revIDLastSave="0" documentId="13_ncr:1_{4198CCD5-D8A4-43C6-B906-D9D2FDE55504}" xr6:coauthVersionLast="47" xr6:coauthVersionMax="47" xr10:uidLastSave="{00000000-0000-0000-0000-000000000000}"/>
  <bookViews>
    <workbookView xWindow="28680" yWindow="-45" windowWidth="29040" windowHeight="15720" tabRatio="871" xr2:uid="{00000000-000D-0000-FFFF-FFFF00000000}"/>
  </bookViews>
  <sheets>
    <sheet name="Unified_table" sheetId="13" r:id="rId1"/>
    <sheet name="Unified_table (2)" sheetId="15" r:id="rId2"/>
    <sheet name="Unified_table_old" sheetId="14" r:id="rId3"/>
    <sheet name="EnergyTransport_RD" sheetId="1" r:id="rId4"/>
  </sheets>
  <definedNames>
    <definedName name="_xlnm._FilterDatabase" localSheetId="3" hidden="1">EnergyTransport_RD!$A$1:$Q$1</definedName>
    <definedName name="_xlnm._FilterDatabase" localSheetId="0" hidden="1">Unified_table!$A$1:$Q$7</definedName>
    <definedName name="_xlnm._FilterDatabase" localSheetId="1" hidden="1">'Unified_table (2)'!$A$1:$Q$7</definedName>
    <definedName name="_xlnm._FilterDatabase" localSheetId="2" hidden="1">Unified_table_old!$A$1:$Q$29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15" l="1"/>
  <c r="B12" i="15"/>
  <c r="B13" i="15" s="1"/>
  <c r="A11" i="15"/>
  <c r="A12" i="15" s="1"/>
  <c r="A13" i="15" s="1"/>
  <c r="A14" i="15" s="1"/>
  <c r="K10" i="15"/>
  <c r="B9" i="15"/>
  <c r="B10" i="15" s="1"/>
  <c r="A9" i="15"/>
  <c r="A10" i="15" s="1"/>
  <c r="A3" i="15"/>
  <c r="A4" i="15" s="1"/>
  <c r="A5" i="15" s="1"/>
  <c r="A6" i="15" s="1"/>
  <c r="A7" i="15" s="1"/>
  <c r="K28" i="14"/>
  <c r="K25" i="14"/>
  <c r="K22" i="14"/>
  <c r="K19" i="14"/>
  <c r="K15" i="14"/>
  <c r="B14" i="14"/>
  <c r="B15" i="14" s="1"/>
  <c r="A13" i="14"/>
  <c r="A14" i="14" s="1"/>
  <c r="A15" i="14" s="1"/>
  <c r="A16" i="14" s="1"/>
  <c r="A17" i="14" s="1"/>
  <c r="A18" i="14" s="1"/>
  <c r="A19" i="14" s="1"/>
  <c r="A20" i="14" s="1"/>
  <c r="A21" i="14" s="1"/>
  <c r="A22" i="14" s="1"/>
  <c r="A23" i="14" s="1"/>
  <c r="A24" i="14" s="1"/>
  <c r="A25" i="14" s="1"/>
  <c r="A26" i="14" s="1"/>
  <c r="A27" i="14" s="1"/>
  <c r="A28" i="14" s="1"/>
  <c r="A29" i="14" s="1"/>
  <c r="K12" i="14"/>
  <c r="B11" i="14"/>
  <c r="B12" i="14" s="1"/>
  <c r="A11" i="14"/>
  <c r="A12" i="14" s="1"/>
  <c r="A3" i="14"/>
  <c r="A4" i="14" s="1"/>
  <c r="A5" i="14" s="1"/>
  <c r="A6" i="14" s="1"/>
  <c r="A7" i="14" s="1"/>
  <c r="A8" i="14" s="1"/>
  <c r="K52" i="1"/>
  <c r="K49" i="1"/>
  <c r="A47" i="1"/>
  <c r="A48" i="1" s="1"/>
  <c r="A49" i="1" s="1"/>
  <c r="A50" i="1" s="1"/>
  <c r="A51" i="1" s="1"/>
  <c r="A52" i="1" s="1"/>
  <c r="A40" i="1" l="1"/>
  <c r="K38" i="1"/>
  <c r="B37" i="1"/>
  <c r="B38" i="1" s="1"/>
  <c r="K35" i="1"/>
  <c r="K32" i="1"/>
  <c r="K29" i="1"/>
  <c r="K26" i="1"/>
  <c r="K23" i="1"/>
  <c r="K17" i="1"/>
  <c r="B16" i="1"/>
  <c r="B17" i="1" s="1"/>
  <c r="A15" i="1"/>
  <c r="A18" i="1" s="1"/>
  <c r="A19" i="1" s="1"/>
  <c r="A20" i="1" s="1"/>
  <c r="A21" i="1" s="1"/>
  <c r="A22" i="1" s="1"/>
  <c r="A23" i="1" s="1"/>
  <c r="A24" i="1" s="1"/>
  <c r="A25" i="1" s="1"/>
  <c r="A26" i="1" s="1"/>
  <c r="A27" i="1" s="1"/>
  <c r="A28" i="1" s="1"/>
  <c r="A29" i="1" s="1"/>
  <c r="A30" i="1" s="1"/>
  <c r="A31" i="1" s="1"/>
  <c r="A32" i="1" s="1"/>
  <c r="A33" i="1" s="1"/>
  <c r="A34" i="1" s="1"/>
  <c r="A35" i="1" s="1"/>
  <c r="A36" i="1" s="1"/>
  <c r="A37" i="1" s="1"/>
  <c r="A38" i="1" s="1"/>
  <c r="K14" i="1"/>
  <c r="B13" i="1"/>
  <c r="B14" i="1" s="1"/>
  <c r="A13" i="1"/>
  <c r="A14" i="1" s="1"/>
  <c r="A3" i="1"/>
  <c r="A4" i="1" s="1"/>
  <c r="A5" i="1" s="1"/>
  <c r="A6" i="1" s="1"/>
  <c r="A7" i="1" s="1"/>
  <c r="A8" i="1" s="1"/>
  <c r="A9" i="1" s="1"/>
  <c r="A10" i="1" s="1"/>
  <c r="A16" i="1" l="1"/>
  <c r="A17" i="1" s="1"/>
  <c r="A3" i="13"/>
  <c r="A4" i="13" s="1"/>
  <c r="A5" i="13" s="1"/>
  <c r="A6" i="13" l="1"/>
  <c r="A7"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F974BC01-36AB-4663-B0AC-77CFF1006293}">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4866CAEE-A34C-4F6D-A23E-B654E0DDBE39}">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00214F3D-23F8-4A4E-83BB-DE28A8B8A539}">
      <text>
        <r>
          <rPr>
            <b/>
            <sz val="9"/>
            <color indexed="81"/>
            <rFont val="Tahoma"/>
            <family val="2"/>
          </rPr>
          <t>Nombre corto de la incertidumbre</t>
        </r>
      </text>
    </comment>
    <comment ref="D1" authorId="0" shapeId="0" xr:uid="{5B6999F5-361A-44BD-846D-7B1FE3D31A8E}">
      <text>
        <r>
          <rPr>
            <b/>
            <sz val="9"/>
            <color indexed="81"/>
            <rFont val="Tahoma"/>
            <family val="2"/>
          </rPr>
          <t>Descripción de la incertidumbre</t>
        </r>
      </text>
    </comment>
    <comment ref="E1" authorId="0" shapeId="0" xr:uid="{3734F52D-A4D2-4E4A-8364-38A0A1D1563B}">
      <text>
        <r>
          <rPr>
            <b/>
            <sz val="9"/>
            <color indexed="81"/>
            <rFont val="Tahoma"/>
            <family val="2"/>
          </rPr>
          <t>Típicamente es "n.a.". Ver ejemplo de Gatemala</t>
        </r>
      </text>
    </comment>
    <comment ref="F1" authorId="0" shapeId="0" xr:uid="{94170E81-2511-4CCE-918E-88173FDC9CC0}">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193BE4EA-9DEA-4EF8-8216-629535FCF099}">
      <text>
        <r>
          <rPr>
            <b/>
            <sz val="9"/>
            <color indexed="81"/>
            <rFont val="Tahoma"/>
            <family val="2"/>
          </rPr>
          <t>Típicamente es "Time_Series" o "Adoption_Curve". Revisar ejemplo de Guatemala</t>
        </r>
      </text>
    </comment>
    <comment ref="H1" authorId="0" shapeId="0" xr:uid="{A45B6F02-B43B-4D70-A8EA-39241A5AF5DA}">
      <text>
        <r>
          <rPr>
            <b/>
            <sz val="9"/>
            <color indexed="81"/>
            <rFont val="Tahoma"/>
            <family val="2"/>
          </rPr>
          <t>Típicamente es Final_Value. De no ser el caso revisar ejemplo de Guatemala</t>
        </r>
      </text>
    </comment>
    <comment ref="I1" authorId="0" shapeId="0" xr:uid="{5877859F-BB3E-4775-9A8D-3B3DB92511E0}">
      <text>
        <r>
          <rPr>
            <b/>
            <sz val="9"/>
            <color indexed="81"/>
            <rFont val="Tahoma"/>
            <family val="2"/>
          </rPr>
          <t>Revisar ejemplo de Guatemala si es el caso</t>
        </r>
      </text>
    </comment>
    <comment ref="J1" authorId="0" shapeId="0" xr:uid="{DA6C339A-34E0-4B9E-9531-7B77E04E88C4}">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503027FD-8537-4DB4-AB63-741EEEE08404}">
      <text>
        <r>
          <rPr>
            <b/>
            <sz val="9"/>
            <color indexed="81"/>
            <rFont val="Tahoma"/>
            <family val="2"/>
          </rPr>
          <t>Revisar ejemplo de Guatemala si es el caso</t>
        </r>
      </text>
    </comment>
    <comment ref="L1" authorId="0" shapeId="0" xr:uid="{2496DC87-D7DB-4F67-B236-3A97CCC987EB}">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454384B1-B097-4BFD-89B3-29B7B6A98E29}">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5A63F058-42DA-4ABB-859E-07B5EC4C965A}">
      <text>
        <r>
          <rPr>
            <b/>
            <sz val="9"/>
            <color indexed="81"/>
            <rFont val="Tahoma"/>
            <family val="2"/>
          </rPr>
          <t>Deben ser fuels o technologies de l modelo. Si son varios separar por " ; ".</t>
        </r>
      </text>
    </comment>
    <comment ref="O1" authorId="0" shapeId="0" xr:uid="{3DC4C05B-D134-4FD4-839B-9AFA92AAF0C5}">
      <text>
        <r>
          <rPr>
            <b/>
            <sz val="9"/>
            <color indexed="81"/>
            <rFont val="Tahoma"/>
            <family val="2"/>
          </rPr>
          <t>Debe ser un parámetro de OSeMOSYS. Si son varios separar por " ; ".</t>
        </r>
      </text>
    </comment>
    <comment ref="P1" authorId="0" shapeId="0" xr:uid="{1003A6D3-11F1-4161-A3E4-3393A6C38D50}">
      <text>
        <r>
          <rPr>
            <b/>
            <sz val="9"/>
            <color indexed="81"/>
            <rFont val="Tahoma"/>
            <family val="2"/>
          </rPr>
          <t>Explicar cómo debe variarse el valor del parámetro.</t>
        </r>
      </text>
    </comment>
    <comment ref="Q1" authorId="0" shapeId="0" xr:uid="{591E5018-A15A-44A6-9F6D-0AC8AA848BF0}">
      <text>
        <r>
          <rPr>
            <b/>
            <sz val="9"/>
            <color indexed="81"/>
            <rFont val="Tahoma"/>
            <family val="2"/>
          </rPr>
          <t>Justificar si viene de la DAMI o se está explorando por una razón específica o por criterio experto</t>
        </r>
      </text>
    </comment>
    <comment ref="N3" authorId="0" shapeId="0" xr:uid="{4E75F1E7-1CFE-44D0-8D72-3CD954E96A52}">
      <text>
        <r>
          <rPr>
            <b/>
            <sz val="9"/>
            <color indexed="81"/>
            <rFont val="Tahoma"/>
            <family val="2"/>
          </rPr>
          <t>Aquí van fuels o commodities porque la demanda no depende de una tecnología sino de un fuel</t>
        </r>
      </text>
    </comment>
    <comment ref="N4" authorId="0" shapeId="0" xr:uid="{55C164FE-5ED1-4659-A860-F1C3FDF11696}">
      <text>
        <r>
          <rPr>
            <b/>
            <sz val="9"/>
            <color indexed="81"/>
            <rFont val="Tahoma"/>
            <family val="2"/>
          </rPr>
          <t>Aquí van fuels o commodities porque la demanda no depende de una tecnología sino de un fuel</t>
        </r>
      </text>
    </comment>
    <comment ref="G8" authorId="1" shapeId="0" xr:uid="{815740BD-64D6-43BE-82A3-76D65C9FB3F9}">
      <text>
        <r>
          <rPr>
            <b/>
            <sz val="9"/>
            <color indexed="81"/>
            <rFont val="Tahoma"/>
            <family val="2"/>
          </rPr>
          <t>This is actually not an investment, but a trick to reuse existing methods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C536B77A-4A95-4D85-8271-598B735D6044}">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CA4B35BB-E0D3-488D-9F5A-00B3CB95CDD5}">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C9BBB531-D4E1-490A-977D-700BDA42B930}">
      <text>
        <r>
          <rPr>
            <b/>
            <sz val="9"/>
            <color indexed="81"/>
            <rFont val="Tahoma"/>
            <family val="2"/>
          </rPr>
          <t>Nombre corto de la incertidumbre</t>
        </r>
      </text>
    </comment>
    <comment ref="D1" authorId="0" shapeId="0" xr:uid="{7E36BB6E-3C1E-4951-90AF-480160868ECF}">
      <text>
        <r>
          <rPr>
            <b/>
            <sz val="9"/>
            <color indexed="81"/>
            <rFont val="Tahoma"/>
            <family val="2"/>
          </rPr>
          <t>Descripción de la incertidumbre</t>
        </r>
      </text>
    </comment>
    <comment ref="E1" authorId="0" shapeId="0" xr:uid="{64B24278-BDB8-4068-83FC-56F8C8A8B17D}">
      <text>
        <r>
          <rPr>
            <b/>
            <sz val="9"/>
            <color indexed="81"/>
            <rFont val="Tahoma"/>
            <family val="2"/>
          </rPr>
          <t>Típicamente es "n.a.". Ver ejemplo de Gatemala</t>
        </r>
      </text>
    </comment>
    <comment ref="F1" authorId="0" shapeId="0" xr:uid="{2B9E2D82-2897-4AD9-B62F-671E1AD6DF30}">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DC0B2678-B2C1-471D-AC03-4F5E755E5083}">
      <text>
        <r>
          <rPr>
            <b/>
            <sz val="9"/>
            <color indexed="81"/>
            <rFont val="Tahoma"/>
            <family val="2"/>
          </rPr>
          <t>Típicamente es "Time_Series" o "Adoption_Curve". Revisar ejemplo de Guatemala</t>
        </r>
      </text>
    </comment>
    <comment ref="H1" authorId="0" shapeId="0" xr:uid="{863F9141-F7B8-4246-9596-83019CF0439C}">
      <text>
        <r>
          <rPr>
            <b/>
            <sz val="9"/>
            <color indexed="81"/>
            <rFont val="Tahoma"/>
            <family val="2"/>
          </rPr>
          <t>Típicamente es Final_Value. De no ser el caso revisar ejemplo de Guatemala</t>
        </r>
      </text>
    </comment>
    <comment ref="I1" authorId="0" shapeId="0" xr:uid="{041CEC3A-0F37-4B58-8891-6D920D351E7D}">
      <text>
        <r>
          <rPr>
            <b/>
            <sz val="9"/>
            <color indexed="81"/>
            <rFont val="Tahoma"/>
            <family val="2"/>
          </rPr>
          <t>Revisar ejemplo de Guatemala si es el caso</t>
        </r>
      </text>
    </comment>
    <comment ref="J1" authorId="0" shapeId="0" xr:uid="{557372D8-B20B-467A-B51A-694DCF60DC92}">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146C03C3-C210-428D-9E47-AD72D57066BE}">
      <text>
        <r>
          <rPr>
            <b/>
            <sz val="9"/>
            <color indexed="81"/>
            <rFont val="Tahoma"/>
            <family val="2"/>
          </rPr>
          <t>Revisar ejemplo de Guatemala si es el caso</t>
        </r>
      </text>
    </comment>
    <comment ref="L1" authorId="0" shapeId="0" xr:uid="{AFED6ACC-B5C7-4ACB-8FDC-0BDBF293C098}">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56345DCF-51C2-4514-964D-B942C02E702D}">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EE5235F7-1093-4D49-91DA-A821B68DCB4B}">
      <text>
        <r>
          <rPr>
            <b/>
            <sz val="9"/>
            <color indexed="81"/>
            <rFont val="Tahoma"/>
            <family val="2"/>
          </rPr>
          <t>Deben ser fuels o technologies de l modelo. Si son varios separar por " ; ".</t>
        </r>
      </text>
    </comment>
    <comment ref="O1" authorId="0" shapeId="0" xr:uid="{D083CD06-09A2-463A-A76A-E99B3A93D4D0}">
      <text>
        <r>
          <rPr>
            <b/>
            <sz val="9"/>
            <color indexed="81"/>
            <rFont val="Tahoma"/>
            <family val="2"/>
          </rPr>
          <t>Debe ser un parámetro de OSeMOSYS. Si son varios separar por " ; ".</t>
        </r>
      </text>
    </comment>
    <comment ref="P1" authorId="0" shapeId="0" xr:uid="{ED6CCF4C-8091-4B05-9663-B51F090866B9}">
      <text>
        <r>
          <rPr>
            <b/>
            <sz val="9"/>
            <color indexed="81"/>
            <rFont val="Tahoma"/>
            <family val="2"/>
          </rPr>
          <t>Explicar cómo debe variarse el valor del parámetro.</t>
        </r>
      </text>
    </comment>
    <comment ref="Q1" authorId="0" shapeId="0" xr:uid="{98A481E8-8AF8-447B-A3D5-E8F25E562343}">
      <text>
        <r>
          <rPr>
            <b/>
            <sz val="9"/>
            <color indexed="81"/>
            <rFont val="Tahoma"/>
            <family val="2"/>
          </rPr>
          <t>Justificar si viene de la DAMI o se está explorando por una razón específica o por criterio experto</t>
        </r>
      </text>
    </comment>
    <comment ref="N3" authorId="0" shapeId="0" xr:uid="{2DB64E9A-F00C-486A-82B5-01E53DCB8E34}">
      <text>
        <r>
          <rPr>
            <b/>
            <sz val="9"/>
            <color indexed="81"/>
            <rFont val="Tahoma"/>
            <family val="2"/>
          </rPr>
          <t>Aquí van fuels o commodities porque la demanda no depende de una tecnología sino de un fuel</t>
        </r>
      </text>
    </comment>
    <comment ref="N4" authorId="0" shapeId="0" xr:uid="{5D811BA9-2A06-48E6-98DD-7C8DC4239A69}">
      <text>
        <r>
          <rPr>
            <b/>
            <sz val="9"/>
            <color indexed="81"/>
            <rFont val="Tahoma"/>
            <family val="2"/>
          </rPr>
          <t>Aquí van fuels o commodities porque la demanda no depende de una tecnología sino de un fuel</t>
        </r>
      </text>
    </comment>
    <comment ref="N8" authorId="0" shapeId="0" xr:uid="{C4055C71-D275-4090-81CC-86CA280B85E7}">
      <text>
        <r>
          <rPr>
            <b/>
            <sz val="9"/>
            <color indexed="81"/>
            <rFont val="Tahoma"/>
            <family val="2"/>
          </rPr>
          <t>Aquí van fuels o commodities porque la demanda no depende de una tecnología sino de un fuel</t>
        </r>
      </text>
    </comment>
    <comment ref="N9" authorId="0" shapeId="0" xr:uid="{6545B05F-0F96-420E-A6D3-59F61E1C3CF7}">
      <text>
        <r>
          <rPr>
            <b/>
            <sz val="9"/>
            <color indexed="81"/>
            <rFont val="Tahoma"/>
            <family val="2"/>
          </rPr>
          <t>Aquí van fuels o commodities porque la demanda no depende de una tecnología sino de un fuel</t>
        </r>
      </text>
    </comment>
    <comment ref="N10" authorId="0" shapeId="0" xr:uid="{5BC4BEB9-F86D-4E9E-8320-A685A0DCC233}">
      <text>
        <r>
          <rPr>
            <b/>
            <sz val="9"/>
            <color indexed="81"/>
            <rFont val="Tahoma"/>
            <family val="2"/>
          </rPr>
          <t>Aquí van fuels o commodities porque la demanda no depende de una tecnología sino de un fuel</t>
        </r>
      </text>
    </comment>
    <comment ref="N11" authorId="0" shapeId="0" xr:uid="{EDA5EFC6-48B1-4B15-9998-B191686EFF98}">
      <text>
        <r>
          <rPr>
            <b/>
            <sz val="9"/>
            <color indexed="81"/>
            <rFont val="Tahoma"/>
            <family val="2"/>
          </rPr>
          <t>Aquí van fuels o commodities porque la demanda no depende de una tecnología sino de un fuel</t>
        </r>
      </text>
    </comment>
    <comment ref="N12" authorId="0" shapeId="0" xr:uid="{E5508A5C-8927-4A1F-AB9E-22A6F8E8F962}">
      <text>
        <r>
          <rPr>
            <b/>
            <sz val="9"/>
            <color indexed="81"/>
            <rFont val="Tahoma"/>
            <family val="2"/>
          </rPr>
          <t>Aquí van fuels o commodities porque la demanda no depende de una tecnología sino de un fuel</t>
        </r>
      </text>
    </comment>
    <comment ref="N13" authorId="0" shapeId="0" xr:uid="{C8B1E850-B86E-41DA-8081-9B3061863268}">
      <text>
        <r>
          <rPr>
            <b/>
            <sz val="9"/>
            <color indexed="81"/>
            <rFont val="Tahoma"/>
            <family val="2"/>
          </rPr>
          <t>Aquí van fuels o commodities porque la demanda no depende de una tecnología sino de un fuel</t>
        </r>
      </text>
    </comment>
    <comment ref="G14" authorId="1" shapeId="0" xr:uid="{7BE4953D-B28F-4E4B-89A4-AAACB3A57745}">
      <text>
        <r>
          <rPr>
            <b/>
            <sz val="9"/>
            <color indexed="81"/>
            <rFont val="Tahoma"/>
            <family val="2"/>
          </rPr>
          <t>This is actually not an investment, but a trick to reuse existing methods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48A28932-09EF-4F26-A707-3C26E516A554}">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596E87B1-5A64-4864-9AFE-F60198EE32FE}">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33EA93A6-A566-41FB-8B4C-F245E63B4DEB}">
      <text>
        <r>
          <rPr>
            <b/>
            <sz val="9"/>
            <color indexed="81"/>
            <rFont val="Tahoma"/>
            <family val="2"/>
          </rPr>
          <t>Nombre corto de la incertidumbre</t>
        </r>
      </text>
    </comment>
    <comment ref="D1" authorId="0" shapeId="0" xr:uid="{5515D1C0-195B-48AA-89AD-71336EDBFD95}">
      <text>
        <r>
          <rPr>
            <b/>
            <sz val="9"/>
            <color indexed="81"/>
            <rFont val="Tahoma"/>
            <family val="2"/>
          </rPr>
          <t>Descripción de la incertidumbre</t>
        </r>
      </text>
    </comment>
    <comment ref="E1" authorId="0" shapeId="0" xr:uid="{47460B2B-920A-41C2-9A04-C6256C517B31}">
      <text>
        <r>
          <rPr>
            <b/>
            <sz val="9"/>
            <color indexed="81"/>
            <rFont val="Tahoma"/>
            <family val="2"/>
          </rPr>
          <t>Típicamente es "n.a.". Ver ejemplo de Gatemala</t>
        </r>
      </text>
    </comment>
    <comment ref="F1" authorId="0" shapeId="0" xr:uid="{CE8FC949-6642-4214-AFF9-10F4A7D1D734}">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557021E5-70F4-4AA9-A889-05682F89FAE8}">
      <text>
        <r>
          <rPr>
            <b/>
            <sz val="9"/>
            <color indexed="81"/>
            <rFont val="Tahoma"/>
            <family val="2"/>
          </rPr>
          <t>Típicamente es "Time_Series" o "Adoption_Curve". Revisar ejemplo de Guatemala</t>
        </r>
      </text>
    </comment>
    <comment ref="H1" authorId="0" shapeId="0" xr:uid="{EFA65D7D-FCB7-413F-8E26-96E88F3CDDA3}">
      <text>
        <r>
          <rPr>
            <b/>
            <sz val="9"/>
            <color indexed="81"/>
            <rFont val="Tahoma"/>
            <family val="2"/>
          </rPr>
          <t>Típicamente es Final_Value. De no ser el caso revisar ejemplo de Guatemala</t>
        </r>
      </text>
    </comment>
    <comment ref="I1" authorId="0" shapeId="0" xr:uid="{C8B9B4D1-269D-4234-9CC8-C7552098C15E}">
      <text>
        <r>
          <rPr>
            <b/>
            <sz val="9"/>
            <color indexed="81"/>
            <rFont val="Tahoma"/>
            <family val="2"/>
          </rPr>
          <t>Revisar ejemplo de Guatemala si es el caso</t>
        </r>
      </text>
    </comment>
    <comment ref="J1" authorId="0" shapeId="0" xr:uid="{AD220D63-528B-4A81-8713-A4692B1DD941}">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10D51C34-9B2D-46AA-912D-70E32BCDCC43}">
      <text>
        <r>
          <rPr>
            <b/>
            <sz val="9"/>
            <color indexed="81"/>
            <rFont val="Tahoma"/>
            <family val="2"/>
          </rPr>
          <t>Revisar ejemplo de Guatemala si es el caso</t>
        </r>
      </text>
    </comment>
    <comment ref="L1" authorId="0" shapeId="0" xr:uid="{020F7D15-3E43-44A8-975D-1B75AFF71855}">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C0A362A7-7435-41D1-A93A-ECCBA29D48BE}">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68C27D64-CCF3-4AF2-B29C-F48545F722CF}">
      <text>
        <r>
          <rPr>
            <b/>
            <sz val="9"/>
            <color indexed="81"/>
            <rFont val="Tahoma"/>
            <family val="2"/>
          </rPr>
          <t>Deben ser fuels o technologies de l modelo. Si son varios separar por " ; ".</t>
        </r>
      </text>
    </comment>
    <comment ref="O1" authorId="0" shapeId="0" xr:uid="{DA43C224-A67D-409D-9A7C-97DA965817A9}">
      <text>
        <r>
          <rPr>
            <b/>
            <sz val="9"/>
            <color indexed="81"/>
            <rFont val="Tahoma"/>
            <family val="2"/>
          </rPr>
          <t>Debe ser un parámetro de OSeMOSYS. Si son varios separar por " ; ".</t>
        </r>
      </text>
    </comment>
    <comment ref="P1" authorId="0" shapeId="0" xr:uid="{8315C2F9-70BF-4BFB-9BD8-1E741AC3DBBE}">
      <text>
        <r>
          <rPr>
            <b/>
            <sz val="9"/>
            <color indexed="81"/>
            <rFont val="Tahoma"/>
            <family val="2"/>
          </rPr>
          <t>Explicar cómo debe variarse el valor del parámetro.</t>
        </r>
      </text>
    </comment>
    <comment ref="Q1" authorId="0" shapeId="0" xr:uid="{34553708-C556-4536-9CBF-E019978790DF}">
      <text>
        <r>
          <rPr>
            <b/>
            <sz val="9"/>
            <color indexed="81"/>
            <rFont val="Tahoma"/>
            <family val="2"/>
          </rPr>
          <t>Justificar si viene de la DAMI o se está explorando por una razón específica o por criterio experto</t>
        </r>
      </text>
    </comment>
    <comment ref="N3" authorId="0" shapeId="0" xr:uid="{BD74494D-6B18-4D49-9FE0-7D5A79DF7DE6}">
      <text>
        <r>
          <rPr>
            <b/>
            <sz val="9"/>
            <color indexed="81"/>
            <rFont val="Tahoma"/>
            <family val="2"/>
          </rPr>
          <t>Aquí van fuels o commodities porque la demanda no depende de una tecnología sino de un fuel</t>
        </r>
      </text>
    </comment>
    <comment ref="N4" authorId="0" shapeId="0" xr:uid="{403D7458-3426-4646-84D7-ACFC30C96E78}">
      <text>
        <r>
          <rPr>
            <b/>
            <sz val="9"/>
            <color indexed="81"/>
            <rFont val="Tahoma"/>
            <family val="2"/>
          </rPr>
          <t>Aquí van fuels o commodities porque la demanda no depende de una tecnología sino de un fuel</t>
        </r>
      </text>
    </comment>
    <comment ref="N9" authorId="0" shapeId="0" xr:uid="{8046FA6A-ACA0-4EA1-A278-D845A8F9458E}">
      <text>
        <r>
          <rPr>
            <b/>
            <sz val="9"/>
            <color indexed="81"/>
            <rFont val="Tahoma"/>
            <family val="2"/>
          </rPr>
          <t>Aquí van fuels o commodities porque la demanda no depende de una tecnología sino de un fuel</t>
        </r>
      </text>
    </comment>
    <comment ref="N10" authorId="0" shapeId="0" xr:uid="{B102363A-EEE1-4F48-91B4-E360D71C6A93}">
      <text>
        <r>
          <rPr>
            <b/>
            <sz val="9"/>
            <color indexed="81"/>
            <rFont val="Tahoma"/>
            <family val="2"/>
          </rPr>
          <t>Aquí van fuels o commodities porque la demanda no depende de una tecnología sino de un fuel</t>
        </r>
      </text>
    </comment>
    <comment ref="N11" authorId="0" shapeId="0" xr:uid="{9E83FBCE-64B4-4A2A-AB59-1F482A896E81}">
      <text>
        <r>
          <rPr>
            <b/>
            <sz val="9"/>
            <color indexed="81"/>
            <rFont val="Tahoma"/>
            <family val="2"/>
          </rPr>
          <t>Aquí van fuels o commodities porque la demanda no depende de una tecnología sino de un fuel</t>
        </r>
      </text>
    </comment>
    <comment ref="N12" authorId="0" shapeId="0" xr:uid="{8ACD2CF9-413E-4E96-96A8-BB1A886C9FD0}">
      <text>
        <r>
          <rPr>
            <b/>
            <sz val="9"/>
            <color indexed="81"/>
            <rFont val="Tahoma"/>
            <family val="2"/>
          </rPr>
          <t>Aquí van fuels o commodities porque la demanda no depende de una tecnología sino de un fuel</t>
        </r>
      </text>
    </comment>
    <comment ref="N13" authorId="0" shapeId="0" xr:uid="{71D3C57A-5480-47A3-8851-7173FE006748}">
      <text>
        <r>
          <rPr>
            <b/>
            <sz val="9"/>
            <color indexed="81"/>
            <rFont val="Tahoma"/>
            <family val="2"/>
          </rPr>
          <t>Aquí van fuels o commodities porque la demanda no depende de una tecnología sino de un fuel</t>
        </r>
      </text>
    </comment>
    <comment ref="N14" authorId="0" shapeId="0" xr:uid="{60E9A406-F46C-4A67-99A8-4FD2E1D18D4C}">
      <text>
        <r>
          <rPr>
            <b/>
            <sz val="9"/>
            <color indexed="81"/>
            <rFont val="Tahoma"/>
            <family val="2"/>
          </rPr>
          <t>Aquí van fuels o commodities porque la demanda no depende de una tecnología sino de un fuel</t>
        </r>
      </text>
    </comment>
    <comment ref="N15" authorId="0" shapeId="0" xr:uid="{D4FA1DE0-6401-44B7-82E7-B78A3BA7C34B}">
      <text>
        <r>
          <rPr>
            <b/>
            <sz val="9"/>
            <color indexed="81"/>
            <rFont val="Tahoma"/>
            <family val="2"/>
          </rPr>
          <t>Aquí van fuels o commodities porque la demanda no depende de una tecnología sino de un fuel</t>
        </r>
      </text>
    </comment>
    <comment ref="G16" authorId="1" shapeId="0" xr:uid="{195DDBD3-BBB4-4A7F-A143-5E74F551F9BC}">
      <text>
        <r>
          <rPr>
            <b/>
            <sz val="9"/>
            <color indexed="81"/>
            <rFont val="Tahoma"/>
            <family val="2"/>
          </rPr>
          <t>This is actually not an investment, but a trick to reuse existing methods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FE45C048-1EE0-461E-B55D-57BA45EE1455}">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DBEBD385-2249-44FB-9E18-9FC09C23A94B}">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141EE38F-F90F-4751-B4FB-804B0D2F9FDC}">
      <text>
        <r>
          <rPr>
            <b/>
            <sz val="9"/>
            <color indexed="81"/>
            <rFont val="Tahoma"/>
            <family val="2"/>
          </rPr>
          <t>Nombre corto de la incertidumbre</t>
        </r>
      </text>
    </comment>
    <comment ref="D1" authorId="0" shapeId="0" xr:uid="{6C3E408E-793B-4A04-9651-722F982AFFDE}">
      <text>
        <r>
          <rPr>
            <b/>
            <sz val="9"/>
            <color indexed="81"/>
            <rFont val="Tahoma"/>
            <family val="2"/>
          </rPr>
          <t>Descripción de la incertidumbre</t>
        </r>
      </text>
    </comment>
    <comment ref="E1" authorId="0" shapeId="0" xr:uid="{8A5844F0-B8E2-44BE-BD98-C2BC636F096B}">
      <text>
        <r>
          <rPr>
            <b/>
            <sz val="9"/>
            <color indexed="81"/>
            <rFont val="Tahoma"/>
            <family val="2"/>
          </rPr>
          <t>Típicamente es "n.a.". Ver ejemplo de Gatemala</t>
        </r>
      </text>
    </comment>
    <comment ref="F1" authorId="0" shapeId="0" xr:uid="{F5E47CDD-829B-41B0-A59F-81EA6D284FE3}">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52445285-9313-4789-A118-529654483F4F}">
      <text>
        <r>
          <rPr>
            <b/>
            <sz val="9"/>
            <color indexed="81"/>
            <rFont val="Tahoma"/>
            <family val="2"/>
          </rPr>
          <t>Típicamente es "Time_Series" o "Adoption_Curve". Revisar ejemplo de Guatemala</t>
        </r>
      </text>
    </comment>
    <comment ref="H1" authorId="0" shapeId="0" xr:uid="{BFAA0CA5-0955-4E02-80A1-E5F2506F3597}">
      <text>
        <r>
          <rPr>
            <b/>
            <sz val="9"/>
            <color indexed="81"/>
            <rFont val="Tahoma"/>
            <family val="2"/>
          </rPr>
          <t>Típicamente es Final_Value. De no ser el caso revisar ejemplo de Guatemala</t>
        </r>
      </text>
    </comment>
    <comment ref="I1" authorId="0" shapeId="0" xr:uid="{EDEE3E3E-D789-4BCD-8A4E-C5422C561DC3}">
      <text>
        <r>
          <rPr>
            <b/>
            <sz val="9"/>
            <color indexed="81"/>
            <rFont val="Tahoma"/>
            <family val="2"/>
          </rPr>
          <t>Revisar ejemplo de Guatemala si es el caso</t>
        </r>
      </text>
    </comment>
    <comment ref="J1" authorId="0" shapeId="0" xr:uid="{157F87B3-561B-4E91-9535-3A5E16839BB9}">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38E289A1-243B-4D46-B40A-C1DBD1712DDB}">
      <text>
        <r>
          <rPr>
            <b/>
            <sz val="9"/>
            <color indexed="81"/>
            <rFont val="Tahoma"/>
            <family val="2"/>
          </rPr>
          <t>Revisar ejemplo de Guatemala si es el caso</t>
        </r>
      </text>
    </comment>
    <comment ref="L1" authorId="0" shapeId="0" xr:uid="{F843053F-0DB9-49E8-A898-36F36A7F9D8F}">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FDD07801-8DC6-4EB9-AF07-C863C7B8E999}">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18449451-5161-49B8-81B4-3598B32D791B}">
      <text>
        <r>
          <rPr>
            <b/>
            <sz val="9"/>
            <color indexed="81"/>
            <rFont val="Tahoma"/>
            <family val="2"/>
          </rPr>
          <t>Deben ser fuels o technologies de l modelo. Si son varios separar por " ; ".</t>
        </r>
      </text>
    </comment>
    <comment ref="O1" authorId="0" shapeId="0" xr:uid="{E80E4974-7CD1-4466-8646-A186559FBA7C}">
      <text>
        <r>
          <rPr>
            <b/>
            <sz val="9"/>
            <color indexed="81"/>
            <rFont val="Tahoma"/>
            <family val="2"/>
          </rPr>
          <t>Debe ser un parámetro de OSeMOSYS. Si son varios separar por " ; ".</t>
        </r>
      </text>
    </comment>
    <comment ref="P1" authorId="0" shapeId="0" xr:uid="{6647A009-CF9D-47E6-A945-D354418AD356}">
      <text>
        <r>
          <rPr>
            <b/>
            <sz val="9"/>
            <color indexed="81"/>
            <rFont val="Tahoma"/>
            <family val="2"/>
          </rPr>
          <t>Explicar cómo debe variarse el valor del parámetro.</t>
        </r>
      </text>
    </comment>
    <comment ref="Q1" authorId="0" shapeId="0" xr:uid="{6F2BF761-556F-44D5-A361-9CA883EE78D3}">
      <text>
        <r>
          <rPr>
            <b/>
            <sz val="9"/>
            <color indexed="81"/>
            <rFont val="Tahoma"/>
            <family val="2"/>
          </rPr>
          <t>Justificar si viene de la DAMI o se está explorando por una razón específica o por criterio experto</t>
        </r>
      </text>
    </comment>
    <comment ref="N3" authorId="0" shapeId="0" xr:uid="{FC14E054-1ADE-4546-A9D6-974337D02B7F}">
      <text>
        <r>
          <rPr>
            <b/>
            <sz val="9"/>
            <color indexed="81"/>
            <rFont val="Tahoma"/>
            <family val="2"/>
          </rPr>
          <t>Aquí van fuels o commodities porque la demanda no depende de una tecnología sino de un fuel</t>
        </r>
      </text>
    </comment>
    <comment ref="N4" authorId="0" shapeId="0" xr:uid="{F793818C-90B3-4A3D-B9E1-7105EE71724A}">
      <text>
        <r>
          <rPr>
            <b/>
            <sz val="9"/>
            <color indexed="81"/>
            <rFont val="Tahoma"/>
            <family val="2"/>
          </rPr>
          <t>Aquí van fuels o commodities porque la demanda no depende de una tecnología sino de un fuel</t>
        </r>
      </text>
    </comment>
    <comment ref="N11" authorId="0" shapeId="0" xr:uid="{D9C7D972-FCC1-4FFB-B9E1-1EEE9D332F11}">
      <text>
        <r>
          <rPr>
            <b/>
            <sz val="9"/>
            <color indexed="81"/>
            <rFont val="Tahoma"/>
            <family val="2"/>
          </rPr>
          <t>Aquí van fuels o commodities porque la demanda no depende de una tecnología sino de un fuel</t>
        </r>
      </text>
    </comment>
    <comment ref="N12" authorId="0" shapeId="0" xr:uid="{D2D1A48B-B5DB-4D1F-80C3-C63C61C2565E}">
      <text>
        <r>
          <rPr>
            <b/>
            <sz val="9"/>
            <color indexed="81"/>
            <rFont val="Tahoma"/>
            <family val="2"/>
          </rPr>
          <t>Aquí van fuels o commodities porque la demanda no depende de una tecnología sino de un fuel</t>
        </r>
      </text>
    </comment>
    <comment ref="N13" authorId="0" shapeId="0" xr:uid="{3F48A18C-9C59-484D-BB47-21620388D50B}">
      <text>
        <r>
          <rPr>
            <b/>
            <sz val="9"/>
            <color indexed="81"/>
            <rFont val="Tahoma"/>
            <family val="2"/>
          </rPr>
          <t>Aquí van fuels o commodities porque la demanda no depende de una tecnología sino de un fuel</t>
        </r>
      </text>
    </comment>
    <comment ref="N14" authorId="0" shapeId="0" xr:uid="{BF74308D-5C0B-49C1-9F8F-13A29BB2DF2B}">
      <text>
        <r>
          <rPr>
            <b/>
            <sz val="9"/>
            <color indexed="81"/>
            <rFont val="Tahoma"/>
            <family val="2"/>
          </rPr>
          <t>Aquí van fuels o commodities porque la demanda no depende de una tecnología sino de un fuel</t>
        </r>
      </text>
    </comment>
    <comment ref="N15" authorId="0" shapeId="0" xr:uid="{E5336F1A-CA5D-43A4-9EDB-CBBBBEF15361}">
      <text>
        <r>
          <rPr>
            <b/>
            <sz val="9"/>
            <color indexed="81"/>
            <rFont val="Tahoma"/>
            <family val="2"/>
          </rPr>
          <t>Aquí van fuels o commodities porque la demanda no depende de una tecnología sino de un fuel</t>
        </r>
      </text>
    </comment>
    <comment ref="N16" authorId="0" shapeId="0" xr:uid="{0A830717-320B-4083-B9CC-0F403BC35F10}">
      <text>
        <r>
          <rPr>
            <b/>
            <sz val="9"/>
            <color indexed="81"/>
            <rFont val="Tahoma"/>
            <family val="2"/>
          </rPr>
          <t>Aquí van fuels o commodities porque la demanda no depende de una tecnología sino de un fuel</t>
        </r>
      </text>
    </comment>
    <comment ref="N17" authorId="0" shapeId="0" xr:uid="{D7492A6E-9167-4316-9DCA-DF3AC343AB95}">
      <text>
        <r>
          <rPr>
            <b/>
            <sz val="9"/>
            <color indexed="81"/>
            <rFont val="Tahoma"/>
            <family val="2"/>
          </rPr>
          <t>Aquí van fuels o commodities porque la demanda no depende de una tecnología sino de un fuel</t>
        </r>
      </text>
    </comment>
    <comment ref="C18" authorId="0" shapeId="0" xr:uid="{1B8D8C16-269E-473D-B7BC-7B9BB4AECC8D}">
      <text>
        <r>
          <rPr>
            <b/>
            <sz val="9"/>
            <color indexed="81"/>
            <rFont val="Tahoma"/>
            <family val="2"/>
          </rPr>
          <t>Incluye vehículos de carga</t>
        </r>
      </text>
    </comment>
    <comment ref="N18" authorId="0" shapeId="0" xr:uid="{B2B1D903-60C8-4210-9E50-F5D384CD7207}">
      <text>
        <r>
          <rPr>
            <b/>
            <sz val="9"/>
            <color indexed="81"/>
            <rFont val="Tahoma"/>
            <family val="2"/>
          </rPr>
          <t>Incluye los grupos de carga</t>
        </r>
      </text>
    </comment>
    <comment ref="G20" authorId="1" shapeId="0" xr:uid="{87DA9203-B081-4401-8A11-B78A9AA7740F}">
      <text>
        <r>
          <rPr>
            <b/>
            <sz val="9"/>
            <color indexed="81"/>
            <rFont val="Tahoma"/>
            <family val="2"/>
          </rPr>
          <t>This is actually not an investment, but a trick to reuse existing methods</t>
        </r>
      </text>
    </comment>
    <comment ref="N40" authorId="0" shapeId="0" xr:uid="{6D5E0288-A2A1-4347-AB63-B5EB11CCCBD7}">
      <text>
        <r>
          <rPr>
            <b/>
            <sz val="9"/>
            <color indexed="81"/>
            <rFont val="Tahoma"/>
            <family val="2"/>
          </rPr>
          <t>Aquí van fuels o commodities porque la demanda no depende de una tecnología sino de un fuel</t>
        </r>
      </text>
    </comment>
    <comment ref="N41" authorId="0" shapeId="0" xr:uid="{96B61230-F72D-4E26-A763-44B0F6C68DFF}">
      <text>
        <r>
          <rPr>
            <b/>
            <sz val="9"/>
            <color indexed="81"/>
            <rFont val="Tahoma"/>
            <family val="2"/>
          </rPr>
          <t>PPPVT ; PPPVD ; PPPVDS</t>
        </r>
      </text>
    </comment>
    <comment ref="N43" authorId="0" shapeId="0" xr:uid="{4FB042B8-AE02-4F91-9D38-3517227FF94D}">
      <text>
        <r>
          <rPr>
            <b/>
            <sz val="9"/>
            <color indexed="81"/>
            <rFont val="Tahoma"/>
            <family val="2"/>
          </rPr>
          <t>PPBIM es térmico? Y PPBGS?
PPCCFOIDSL ; no tiene Lower</t>
        </r>
      </text>
    </comment>
  </commentList>
</comments>
</file>

<file path=xl/sharedStrings.xml><?xml version="1.0" encoding="utf-8"?>
<sst xmlns="http://schemas.openxmlformats.org/spreadsheetml/2006/main" count="1276" uniqueCount="161">
  <si>
    <t>X_Num</t>
  </si>
  <si>
    <t>XLRM_ID</t>
  </si>
  <si>
    <t>X_Category</t>
  </si>
  <si>
    <t>X_Plain_English_Description</t>
  </si>
  <si>
    <t>Sign_Dependency_on_Specified_Xs</t>
  </si>
  <si>
    <t>Involved_Scenarios</t>
  </si>
  <si>
    <t>X_Mathematical_Type</t>
  </si>
  <si>
    <t>Explored_Parameter_of_X</t>
  </si>
  <si>
    <t>Explored_Parameter_is_Relative_to_Baseline</t>
  </si>
  <si>
    <t>Explored_Parameter_Number</t>
  </si>
  <si>
    <t>Dependency_on_Previous_Explored_Parameter</t>
  </si>
  <si>
    <t>Min_Value</t>
  </si>
  <si>
    <t>Max_Value</t>
  </si>
  <si>
    <t>Involved_Sets_in_Osemosys</t>
  </si>
  <si>
    <t>Exact_Parameters_Involved_in_Osemosys</t>
  </si>
  <si>
    <t>Manipulation_of_Parameter</t>
  </si>
  <si>
    <t>Justification</t>
  </si>
  <si>
    <t>X_E_1</t>
  </si>
  <si>
    <t>GDP</t>
  </si>
  <si>
    <t>The growth rate of GDP</t>
  </si>
  <si>
    <t>n.a.</t>
  </si>
  <si>
    <t>Constant</t>
  </si>
  <si>
    <t>NO</t>
  </si>
  <si>
    <t>none</t>
  </si>
  <si>
    <t>The rate is taken constant, starting in 2025.</t>
  </si>
  <si>
    <t>Matriz DAMI</t>
  </si>
  <si>
    <t>X_E_2</t>
  </si>
  <si>
    <t>Passenger Demand</t>
  </si>
  <si>
    <t>Final value of passenger demand elasticity to GDP in 2050</t>
  </si>
  <si>
    <t>Time_Series</t>
  </si>
  <si>
    <t>Final_Value</t>
  </si>
  <si>
    <t>YES</t>
  </si>
  <si>
    <t>E6TDPASPRI ; E6TDPASPUB ; E6TRNOMOT</t>
  </si>
  <si>
    <t>SpecifiedAnnualDemand</t>
  </si>
  <si>
    <t>1) Sum parameters of all sets. 2) Multiply final value of time series by the Explored Parameter in each future and then interpolate. 3a) For BAU, redistribute demand back to private, public and non-motorized with the same distribution as baseline. 3b) For DP and related scenarios, store until uncertainties 135, 136, 141 and 142 are assigned. 4) Subtract Public and Non-Motorized to the Passenger Demand and assign to Private Transport.</t>
  </si>
  <si>
    <t>X_E_3</t>
  </si>
  <si>
    <t>Freight Demand</t>
  </si>
  <si>
    <t>Final value of freight demand elasticity to GDP in 2050</t>
  </si>
  <si>
    <t>E6TDFREHEA ; E6TDFRELIG</t>
  </si>
  <si>
    <t>1) Multiply final value of time series by the Explored Parameter in each future and then interpolate. 2) Assign the modified parameter back.</t>
  </si>
  <si>
    <t>X_E_4</t>
  </si>
  <si>
    <t>Fossil Supply Cost</t>
  </si>
  <si>
    <t>Import and capital costs of gasoline, diesel and LPG</t>
  </si>
  <si>
    <t>CapitalCost; VariableCost</t>
  </si>
  <si>
    <t>X_E_5</t>
  </si>
  <si>
    <t>Power Costs</t>
  </si>
  <si>
    <t>Renewables, storage, and other infrastructure unit costs</t>
  </si>
  <si>
    <t>CapitalCost ; FixedCost</t>
  </si>
  <si>
    <t>X_E_6</t>
  </si>
  <si>
    <t>Unit ICEV Cost</t>
  </si>
  <si>
    <t>Cost of Diesel, Gasoline, LPG Private Vehicles and Taxis and Motrocycle (New) &amp;&amp; Cost of Diesel Public Bus and Minibus and Light Freight Trucks and Heavy Freight Trucks (New) &amp;&amp; Cost of LPG Public Bus and Minibus and Light Freight Trucks and Heavy Freight Trucks (New)</t>
  </si>
  <si>
    <t>CapitalCost ; FixedCost ; InputActivityRatio</t>
  </si>
  <si>
    <t>X_E_7</t>
  </si>
  <si>
    <t>Unit BEV Cost</t>
  </si>
  <si>
    <t>Cost of Electric, Hybrid-Electric (Diesel), Hybrid-Electric (Gasoline) Private Vehicles and Taxis (New) &amp;&amp; Cost of Electric Public Bus and Minibus and Light Freight Trucks and Heavy Freight Trucks (New) &amp;&amp; Cost of Plug-In Hybrid-Electric Public Bus and Minibus and Light Freight Trucks and Heavy Freight Trucks (New)</t>
  </si>
  <si>
    <t>X_E_8</t>
  </si>
  <si>
    <t>Unit H2 Cost</t>
  </si>
  <si>
    <t>Cost of Hydrogen Public Bus, Minibus, Private bus, Light Freight Trucks and Heavy Freight Trucks (New)</t>
  </si>
  <si>
    <t>X_E_9</t>
  </si>
  <si>
    <t>Capacity Factor (GWh produced / Gw installed) and Produced Energy (PJ)</t>
  </si>
  <si>
    <t>Capacity factor of DAM power plants</t>
  </si>
  <si>
    <t>PPHDAM ; PPHROR</t>
  </si>
  <si>
    <t>CapacityFactor ; TotalTechnologyAnnualActivityLowerLimit</t>
  </si>
  <si>
    <t>L_E_1</t>
  </si>
  <si>
    <t>Mode Shift</t>
  </si>
  <si>
    <t>Growth of share of public transport Use</t>
  </si>
  <si>
    <t>Adoption_Curve</t>
  </si>
  <si>
    <t>L (value in 2050)</t>
  </si>
  <si>
    <t>E6TDPASPUB</t>
  </si>
  <si>
    <r>
      <t xml:space="preserve">1) Multiply curve points by </t>
    </r>
    <r>
      <rPr>
        <i/>
        <sz val="11"/>
        <color theme="1"/>
        <rFont val="Calibri"/>
        <family val="2"/>
        <scheme val="minor"/>
      </rPr>
      <t>Total Demand.</t>
    </r>
    <r>
      <rPr>
        <sz val="11"/>
        <color theme="1"/>
        <rFont val="Calibri"/>
        <family val="2"/>
        <scheme val="minor"/>
      </rPr>
      <t xml:space="preserve"> 2) Assign to Osemosys parameter</t>
    </r>
  </si>
  <si>
    <t>Expert criteria</t>
  </si>
  <si>
    <t>M (year in which the function is valued C)</t>
  </si>
  <si>
    <t>C (value of function in a year M)</t>
  </si>
  <si>
    <t>L_E_2</t>
  </si>
  <si>
    <t>Growth of share of non-motorized transport</t>
  </si>
  <si>
    <t>E6TRNOMOT</t>
  </si>
  <si>
    <t>1) Multiply curve points by Total Demand. 2) Assign to Osemosys parameter</t>
  </si>
  <si>
    <t>L_E_3</t>
  </si>
  <si>
    <t>Occupancy Rates of Passenger Vehicles</t>
  </si>
  <si>
    <t>Occupancy Rates of automobiles, motorcycles, minibus heavy truck and light trucks</t>
  </si>
  <si>
    <t>OutputActivityRatio</t>
  </si>
  <si>
    <t>L_E_4</t>
  </si>
  <si>
    <t>Occupancy Rates of Public Transport Vehicles (Bus Public)</t>
  </si>
  <si>
    <t>Techs_Buses_Pub</t>
  </si>
  <si>
    <t>Adjustment OAR</t>
  </si>
  <si>
    <t>This serves to update the capacity parameters of freight and also fleet share restrictions</t>
  </si>
  <si>
    <t>1) Multiply curve points by capacity of associated group technology. 2) Assign to Osemosys parameter</t>
  </si>
  <si>
    <t>L_E_6</t>
  </si>
  <si>
    <t>Penetration of Hydrogen in Public Transport</t>
  </si>
  <si>
    <t>Growth of Hydrogen in public transport</t>
  </si>
  <si>
    <t>TRBPUHYD</t>
  </si>
  <si>
    <t>L_E_7</t>
  </si>
  <si>
    <t>Electrification of Private Transport</t>
  </si>
  <si>
    <t>Growth of Electric private transport</t>
  </si>
  <si>
    <t>TRAUTELE</t>
  </si>
  <si>
    <t>L_E_8</t>
  </si>
  <si>
    <t>Electrification of Private Transport 2</t>
  </si>
  <si>
    <t>L_E_9</t>
  </si>
  <si>
    <t>Electrification of Light Freight Transport</t>
  </si>
  <si>
    <t>Growth of Electric light freight</t>
  </si>
  <si>
    <t>TRYLFELE</t>
  </si>
  <si>
    <t>L_E_10</t>
  </si>
  <si>
    <t>Electrification of Heavy Freight Transport</t>
  </si>
  <si>
    <t>Growth of Electric heavy freight</t>
  </si>
  <si>
    <t>TRYTKELE</t>
  </si>
  <si>
    <t>L_E_11</t>
  </si>
  <si>
    <t>Penetration of Hydrogen in Heavy Freight Transport</t>
  </si>
  <si>
    <t>Growth of Hydrogen heavy freight</t>
  </si>
  <si>
    <t>TRYTKHYD</t>
  </si>
  <si>
    <t>L_E_12</t>
  </si>
  <si>
    <t>Average Distance</t>
  </si>
  <si>
    <t>The relative distance reduction due of DP with respect to BAU of passenger transport demand</t>
  </si>
  <si>
    <t>CapitalCost ; FixedCost ; ResidualCapacity ; TotalAnnualMaxCapacity ; TotalTechnologyAnnualActivityLowerLimit</t>
  </si>
  <si>
    <t>1) Multiply final value of time series by the Explored Parameter in each future and then interpolate. 2) The returned Time Series affects the variables explained. The operation is a "base change", as all variables are in a cost base that needs updating.</t>
  </si>
  <si>
    <t>TotalTechnologyAnnualActivityLowerLimit</t>
  </si>
  <si>
    <t>BAU ; LTS</t>
  </si>
  <si>
    <t>LTS</t>
  </si>
  <si>
    <t>X_E_10</t>
  </si>
  <si>
    <t>Energy Demand</t>
  </si>
  <si>
    <t>Final value of energy demand in 2050</t>
  </si>
  <si>
    <t>TRAUTDSL ; TRAUTGSL ;  TRAUTLPG ; TRTAXGSL ; TRTAXLPG ; TRSUVDSL ; TRSUVGSL ; TRSUVLPG ; TRSUVNGS ; TRMOTGSL ;  TRYTKDSL ; TRYTKGSL ; TRYTKLPG ; TRYLFDSL ; TRYLFGSL ; TRYLFLPG ; TRYLFNGS ; TRBPUDSL ; TRBPUGSL ; TRBPULPG ; TRMBSDSL ; TRMBSGSL ; TRMBSLPG ; TRBTURDSL ; TRBTURGSL ; TRBTURLPG</t>
  </si>
  <si>
    <t>L_E_13</t>
  </si>
  <si>
    <t>DIST_FIR ; DIST_BIM ; DIST_BGS ; DIST_CRU ; DIST_NGS ; DIST_DSL ; DIST_GSL ; DIST_LPG ; DIST_FOI ; DIST_COK ; DIST_KER ; DIST_COA</t>
  </si>
  <si>
    <t>TRMOTELE ; TRMBSELE</t>
  </si>
  <si>
    <t>Techs_Auto ; Techs_SUV ; Techs_Taxi ; Techs_Motos ; Techs_He_Freight ; Techs_Li_Freight ; Techs_Buses_Tur ; Techs_Buses_Micro ; Techs_Buses_Pub</t>
  </si>
  <si>
    <t>Electricity generation share</t>
  </si>
  <si>
    <t>Participation of solar power plants in the electricity matrix</t>
  </si>
  <si>
    <t>Mult_Restriction_Start</t>
  </si>
  <si>
    <t>Participation of wind power plants in the electricity matrix</t>
  </si>
  <si>
    <t>Mult_Restriction</t>
  </si>
  <si>
    <t>Participation of thermal power plants in the electricity matrix</t>
  </si>
  <si>
    <t>Mult_Restriction_End</t>
  </si>
  <si>
    <t>L_E_14</t>
  </si>
  <si>
    <t>L_E_15</t>
  </si>
  <si>
    <t>Electrical Demand</t>
  </si>
  <si>
    <t>X_E_11</t>
  </si>
  <si>
    <t>E5COMELE ; E5INDELE ; E5RESELE ; E5AGRELE</t>
  </si>
  <si>
    <t>Final value of electrical demand in 2050 (EXPLICIT)</t>
  </si>
  <si>
    <t>PPPVT</t>
  </si>
  <si>
    <t>PPCOA ; PPCCTDSL ;  PPCCTNGS ; PPCCTNGSDSL ; PPICEFOI ; PPICEGASFOI</t>
  </si>
  <si>
    <t>PPHDAM ; PPHROR ; PPGEO ; PPWNDON ; PPWNDOFF ; PPPVT ; PPPVTHYD ; PPPVTS ; PPPVD ; PPPVDS ; PPBIM ; PPBGS ; PPCOA ; PPCCTDSL ; PPCCFOIDSL ; PPCCTNGS ; PPCCTNGSDSL ; PPICEFOI ; PPICEGASFOI ; HYD_G_PROD ; HYD_DIST ; T4ELE_PRI ; T4ELE_PUB ; T4ELE_HEA ; T4ELE_LIG ; T4ELE_TUR</t>
  </si>
  <si>
    <t>PPWNDON ; PPWNDOFF</t>
  </si>
  <si>
    <t>TRYTKHYD ; TRBPUHYD ; TRBTURHYD</t>
  </si>
  <si>
    <t xml:space="preserve">TRAUTELE ; TRAUTHG ;  TRTAXELE ; TRMOTELE ; TRSUVELE ;  TRBPUELE ; TRBTURELE ; TRMBSELE ; TRXTTELELE ; TRXTRAIELE ; TRXTRAIFREELE ; TRYTKELE ; TRYLFELE ; TRYTKHD ; TRYLFHD </t>
  </si>
  <si>
    <t>E5COMDSL ; E5COMGSL ; E5COMNGS ; E5COMLPG ; E5COMELE ; E5COMFIR ; E5INDDSL ; E5INDGSL ; E5INDNGS ; E5INDLPG ; E5INDELE ; E5INDHYD ; E5INDCOK ; E5INDBIM ; E5INDCOA ; E5INDFOI ; E5RESLPG ; E5RESELE ; E5RESKER ; E5RESFIR ; E5RESBIM ; E5AGRDSL ; E5AGRELE ; E5AGRLPG</t>
  </si>
  <si>
    <t>Techs_SUV ; Techs_Taxi ; Techs_Motos ;  Techs_Buses_Micro ; Techs_Buses_Tur ; Techs_Auto ; Techs_He_Freight ; Techs_Li_Freight</t>
  </si>
  <si>
    <t>Final value of passenger demand elasticity to GDP in 2050 (EXPLICIT)</t>
  </si>
  <si>
    <t>Final value of freight demand elasticity to GDP in 2050 (EXPLICIT)</t>
  </si>
  <si>
    <t>TRMOTELE</t>
  </si>
  <si>
    <t xml:space="preserve">TRMOTELE </t>
  </si>
  <si>
    <t>Techs_Auto ; Techs_SUV ; Techs_Taxi ; Techs_Motos ; Techs_He_Freight ; Techs_Li_Freight ; Techs_Buses_Micro ; Techs_Buses_Pub</t>
  </si>
  <si>
    <t>Electrification of Public Transport</t>
  </si>
  <si>
    <t>Growth of Electric Public transport</t>
  </si>
  <si>
    <t>TRBPUELE</t>
  </si>
  <si>
    <t>Electrification of Public Transport 2</t>
  </si>
  <si>
    <t>TotalTechnologyAnnualActivityLowerLimit ; TotalAnnualMaxCapacity</t>
  </si>
  <si>
    <t>TRMBSELE ; TRTAXELE</t>
  </si>
  <si>
    <t>TRAUTELE ; TRSUVELE</t>
  </si>
  <si>
    <t>TRAUTDSL ; TRAUTGSL ;  TRAUTLPG ; TRTAXGSL ; TRTAXLPG ; TRSUVDSL ; TRSUVGSL ; TRSUVLPG ; TRSUVNGS ; TRMOTGSL ;  TRYTKDSL ; TRYTKGSL ; TRYTKLPG ; TRYLFDSL ; TRYLFGSL ; TRYLFLPG ; TRYLFNGS ; TRBPUDSL ; TRBPUGSL ; TRBPULPG ; TRMBSDSL ; TRMBSGSL ; TRMBSLPG ; TRBTURDSL ; TRBTURGSL ; TRBTURLPG ; TRAVKER ; TRMAMFREDSL ; TRMAMFREFOI ; TRMARDSL ; TRMARFOI ; TRYTKFOI</t>
  </si>
  <si>
    <t>TRYTKHYD ; TRBPUHYD ; TRBTURHYD ; TRAVHYD ; TRMAMFREHYD ; TRMARHYD</t>
  </si>
  <si>
    <t>L_E_5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</si>
</sst>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
      <b/>
      <sz val="11"/>
      <color rgb="FFFF0000"/>
      <name val="Calibri"/>
      <family val="2"/>
      <scheme val="minor"/>
    </font>
    <font>
      <b/>
      <sz val="9"/>
      <color indexed="81"/>
      <name val="Tahoma"/>
      <family val="2"/>
    </font>
    <font>
      <sz val="11"/>
      <name val="Calibri"/>
      <family val="2"/>
      <scheme val="minor"/>
    </font>
    <font>
      <b/>
      <sz val="11"/>
      <name val="Calibri"/>
      <family val="2"/>
      <scheme val="minor"/>
    </font>
    <font>
      <sz val="8"/>
      <name val="Calibri"/>
      <family val="2"/>
      <scheme val="minor"/>
    </font>
  </fonts>
  <fills count="22">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C000"/>
        <bgColor indexed="64"/>
      </patternFill>
    </fill>
  </fills>
  <borders count="5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theme="2" tint="-9.9948118533890809E-2"/>
      </bottom>
      <diagonal/>
    </border>
    <border>
      <left style="thin">
        <color indexed="64"/>
      </left>
      <right style="thin">
        <color indexed="64"/>
      </right>
      <top style="medium">
        <color indexed="64"/>
      </top>
      <bottom style="thin">
        <color theme="2" tint="-0.24994659260841701"/>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theme="2" tint="-9.9948118533890809E-2"/>
      </top>
      <bottom style="thin">
        <color theme="2" tint="-9.9948118533890809E-2"/>
      </bottom>
      <diagonal/>
    </border>
    <border>
      <left style="thin">
        <color indexed="64"/>
      </left>
      <right style="thin">
        <color indexed="64"/>
      </right>
      <top style="thin">
        <color theme="2" tint="-0.24994659260841701"/>
      </top>
      <bottom style="thin">
        <color theme="2" tint="-0.24994659260841701"/>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theme="2" tint="-9.9948118533890809E-2"/>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theme="2" tint="-0.24994659260841701"/>
      </bottom>
      <diagonal/>
    </border>
    <border>
      <left style="medium">
        <color indexed="64"/>
      </left>
      <right style="medium">
        <color indexed="64"/>
      </right>
      <top style="thin">
        <color theme="2" tint="-0.24994659260841701"/>
      </top>
      <bottom style="thin">
        <color theme="2" tint="-0.24994659260841701"/>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theme="2" tint="-0.24994659260841701"/>
      </top>
      <bottom style="medium">
        <color indexed="64"/>
      </bottom>
      <diagonal/>
    </border>
  </borders>
  <cellStyleXfs count="1">
    <xf numFmtId="0" fontId="0" fillId="0" borderId="0"/>
  </cellStyleXfs>
  <cellXfs count="141">
    <xf numFmtId="0" fontId="0" fillId="0" borderId="0" xfId="0"/>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14" borderId="2" xfId="0" applyFont="1" applyFill="1" applyBorder="1" applyAlignment="1">
      <alignment horizontal="center" vertical="center"/>
    </xf>
    <xf numFmtId="0" fontId="0" fillId="0" borderId="0" xfId="0" applyAlignment="1">
      <alignment horizontal="center"/>
    </xf>
    <xf numFmtId="0" fontId="4" fillId="0" borderId="4" xfId="0" applyFont="1" applyBorder="1" applyAlignment="1">
      <alignment horizontal="center" vertical="center" readingOrder="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xf>
    <xf numFmtId="0" fontId="4" fillId="0" borderId="1" xfId="0" applyFont="1" applyBorder="1" applyAlignment="1">
      <alignment horizontal="center" vertical="center" readingOrder="1"/>
    </xf>
    <xf numFmtId="0" fontId="0" fillId="0" borderId="2"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15" borderId="9" xfId="0" applyFill="1" applyBorder="1" applyAlignment="1">
      <alignment horizontal="center" vertical="center" wrapText="1"/>
    </xf>
    <xf numFmtId="0" fontId="0" fillId="0" borderId="10" xfId="0" applyBorder="1" applyAlignment="1">
      <alignment horizontal="center" vertical="center"/>
    </xf>
    <xf numFmtId="0" fontId="4" fillId="0" borderId="11" xfId="0" applyFont="1" applyBorder="1" applyAlignment="1">
      <alignment horizontal="center" vertical="center" readingOrder="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0" fillId="15" borderId="15" xfId="0" applyFill="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6" fillId="0" borderId="13" xfId="0" applyFont="1"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vertical="center" wrapText="1"/>
    </xf>
    <xf numFmtId="0" fontId="6" fillId="0" borderId="19"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wrapText="1"/>
    </xf>
    <xf numFmtId="0" fontId="3" fillId="10" borderId="4" xfId="0" applyFont="1" applyFill="1" applyBorder="1" applyAlignment="1">
      <alignment horizontal="center" vertical="center"/>
    </xf>
    <xf numFmtId="0" fontId="3" fillId="10" borderId="5" xfId="0" applyFont="1" applyFill="1" applyBorder="1" applyAlignment="1">
      <alignment horizontal="center" vertical="center"/>
    </xf>
    <xf numFmtId="0" fontId="0" fillId="0" borderId="2" xfId="0" applyBorder="1" applyAlignment="1">
      <alignment horizontal="center" vertical="center" wrapText="1"/>
    </xf>
    <xf numFmtId="0" fontId="0" fillId="0" borderId="23" xfId="0" applyBorder="1" applyAlignment="1">
      <alignment horizontal="center" vertical="center"/>
    </xf>
    <xf numFmtId="0" fontId="0" fillId="0" borderId="3"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xf>
    <xf numFmtId="0" fontId="0" fillId="0" borderId="24" xfId="0" applyBorder="1" applyAlignment="1">
      <alignment horizontal="center" vertical="center" wrapText="1"/>
    </xf>
    <xf numFmtId="0" fontId="0" fillId="0" borderId="18" xfId="0" applyBorder="1" applyAlignment="1">
      <alignment horizontal="center" vertical="center" wrapText="1"/>
    </xf>
    <xf numFmtId="0" fontId="6" fillId="0" borderId="0" xfId="0" applyFont="1" applyAlignment="1">
      <alignment horizontal="center" vertical="center"/>
    </xf>
    <xf numFmtId="0" fontId="0" fillId="0" borderId="25" xfId="0"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2" fillId="7" borderId="2" xfId="0" applyFont="1" applyFill="1" applyBorder="1" applyAlignment="1">
      <alignment horizontal="center" vertical="center"/>
    </xf>
    <xf numFmtId="0" fontId="2" fillId="8"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2" borderId="2" xfId="0" applyFont="1" applyFill="1" applyBorder="1" applyAlignment="1">
      <alignment horizontal="center" vertical="center"/>
    </xf>
    <xf numFmtId="0" fontId="2" fillId="13"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wrapText="1"/>
    </xf>
    <xf numFmtId="0" fontId="6" fillId="0" borderId="26" xfId="0" applyFont="1" applyBorder="1" applyAlignment="1">
      <alignment horizontal="center"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0" fillId="16" borderId="5" xfId="0" applyFill="1"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horizontal="center" vertical="center" wrapText="1"/>
    </xf>
    <xf numFmtId="0" fontId="0" fillId="0" borderId="20" xfId="0" applyBorder="1" applyAlignment="1">
      <alignment horizontal="center" vertical="center" wrapText="1"/>
    </xf>
    <xf numFmtId="0" fontId="0" fillId="17" borderId="4" xfId="0" applyFill="1" applyBorder="1" applyAlignment="1">
      <alignment horizontal="center" vertical="center"/>
    </xf>
    <xf numFmtId="0" fontId="0" fillId="18" borderId="4" xfId="0" applyFill="1" applyBorder="1" applyAlignment="1">
      <alignment horizontal="center" vertical="center"/>
    </xf>
    <xf numFmtId="0" fontId="0" fillId="19" borderId="5" xfId="0" applyFill="1" applyBorder="1" applyAlignment="1">
      <alignment horizontal="center" vertical="center" wrapText="1"/>
    </xf>
    <xf numFmtId="0" fontId="0" fillId="0" borderId="27" xfId="0" applyBorder="1" applyAlignment="1">
      <alignment horizontal="center" vertical="center" wrapText="1"/>
    </xf>
    <xf numFmtId="0" fontId="8" fillId="20" borderId="0" xfId="0" applyFont="1" applyFill="1" applyAlignment="1">
      <alignment horizontal="center" vertical="center" wrapText="1"/>
    </xf>
    <xf numFmtId="0" fontId="8" fillId="16" borderId="0" xfId="0" applyFont="1" applyFill="1" applyAlignment="1">
      <alignment horizontal="center" vertical="center" wrapText="1"/>
    </xf>
    <xf numFmtId="0" fontId="9" fillId="16" borderId="0" xfId="0" applyFont="1" applyFill="1" applyAlignment="1">
      <alignment horizontal="center" vertical="center" wrapText="1"/>
    </xf>
    <xf numFmtId="0" fontId="0" fillId="16" borderId="4" xfId="0" applyFill="1" applyBorder="1" applyAlignment="1">
      <alignment horizontal="center" vertical="center"/>
    </xf>
    <xf numFmtId="0" fontId="0" fillId="16" borderId="2" xfId="0" applyFill="1" applyBorder="1" applyAlignment="1">
      <alignment horizontal="center" vertical="center" wrapText="1"/>
    </xf>
    <xf numFmtId="0" fontId="0" fillId="16" borderId="12" xfId="0" applyFill="1" applyBorder="1" applyAlignment="1">
      <alignment horizontal="center" vertical="center" wrapText="1"/>
    </xf>
    <xf numFmtId="0" fontId="0" fillId="16" borderId="18" xfId="0" applyFill="1" applyBorder="1" applyAlignment="1">
      <alignment horizontal="center" vertical="center" wrapText="1"/>
    </xf>
    <xf numFmtId="0" fontId="0" fillId="21" borderId="2"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4" fillId="0" borderId="4" xfId="0" applyFont="1" applyBorder="1" applyAlignment="1">
      <alignment horizontal="center" vertical="center" wrapText="1" readingOrder="1"/>
    </xf>
    <xf numFmtId="0" fontId="0" fillId="0" borderId="4" xfId="0" applyBorder="1" applyAlignment="1">
      <alignment horizontal="center" vertical="center" wrapText="1"/>
    </xf>
    <xf numFmtId="0" fontId="0" fillId="18" borderId="4" xfId="0" applyFill="1" applyBorder="1" applyAlignment="1">
      <alignment horizontal="center" vertical="center" wrapText="1"/>
    </xf>
    <xf numFmtId="0" fontId="0" fillId="17" borderId="4" xfId="0" applyFill="1" applyBorder="1" applyAlignment="1">
      <alignment horizontal="center" vertical="center" wrapText="1"/>
    </xf>
    <xf numFmtId="0" fontId="4" fillId="0" borderId="1" xfId="0" applyFont="1" applyBorder="1" applyAlignment="1">
      <alignment horizontal="center" vertical="center" wrapText="1" readingOrder="1"/>
    </xf>
    <xf numFmtId="0" fontId="0" fillId="0" borderId="10" xfId="0" applyBorder="1" applyAlignment="1">
      <alignment horizontal="center" vertical="center" wrapText="1"/>
    </xf>
    <xf numFmtId="0" fontId="4" fillId="0" borderId="11" xfId="0" applyFont="1" applyBorder="1" applyAlignment="1">
      <alignment horizontal="center" vertical="center" wrapText="1" readingOrder="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3" fillId="10" borderId="4"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0" fillId="0" borderId="23" xfId="0"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15" borderId="34" xfId="0" applyFill="1" applyBorder="1" applyAlignment="1">
      <alignment horizontal="center" vertical="center" wrapText="1"/>
    </xf>
    <xf numFmtId="0" fontId="0" fillId="15" borderId="35" xfId="0" applyFill="1" applyBorder="1" applyAlignment="1">
      <alignment horizontal="center" vertical="center" wrapText="1"/>
    </xf>
    <xf numFmtId="0" fontId="2" fillId="9" borderId="30" xfId="0" applyFont="1" applyFill="1"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1" fillId="5" borderId="39" xfId="0" applyFont="1" applyFill="1"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1" fillId="6" borderId="43" xfId="0" applyFont="1" applyFill="1" applyBorder="1" applyAlignment="1">
      <alignment horizontal="center" vertical="center" wrapText="1"/>
    </xf>
    <xf numFmtId="0" fontId="0" fillId="0" borderId="28" xfId="0" applyBorder="1" applyAlignment="1">
      <alignment horizontal="center" vertical="center" wrapText="1"/>
    </xf>
    <xf numFmtId="0" fontId="0" fillId="19" borderId="7" xfId="0" applyFill="1" applyBorder="1" applyAlignment="1">
      <alignment horizontal="center" vertical="center" wrapText="1"/>
    </xf>
    <xf numFmtId="0" fontId="0" fillId="19" borderId="13" xfId="0" applyFill="1" applyBorder="1" applyAlignment="1">
      <alignment horizontal="center" vertical="center" wrapText="1"/>
    </xf>
    <xf numFmtId="0" fontId="0" fillId="19" borderId="19" xfId="0" applyFill="1" applyBorder="1" applyAlignment="1">
      <alignment horizontal="center" vertical="center" wrapText="1"/>
    </xf>
    <xf numFmtId="0" fontId="0" fillId="19" borderId="2" xfId="0" applyFill="1" applyBorder="1" applyAlignment="1">
      <alignment horizontal="center" vertical="center" wrapText="1"/>
    </xf>
    <xf numFmtId="0" fontId="0" fillId="19" borderId="12" xfId="0" applyFill="1" applyBorder="1" applyAlignment="1">
      <alignment horizontal="center" vertical="center" wrapText="1"/>
    </xf>
    <xf numFmtId="0" fontId="0" fillId="19" borderId="18" xfId="0" applyFill="1" applyBorder="1" applyAlignment="1">
      <alignment horizontal="center" vertical="center" wrapText="1"/>
    </xf>
    <xf numFmtId="0" fontId="0" fillId="16" borderId="7" xfId="0" applyFill="1" applyBorder="1" applyAlignment="1">
      <alignment horizontal="center" vertical="center" wrapText="1"/>
    </xf>
    <xf numFmtId="0" fontId="0" fillId="16" borderId="13" xfId="0" applyFill="1" applyBorder="1" applyAlignment="1">
      <alignment horizontal="center" vertical="center" wrapText="1"/>
    </xf>
    <xf numFmtId="0" fontId="0" fillId="16" borderId="19" xfId="0" applyFill="1" applyBorder="1" applyAlignment="1">
      <alignment horizontal="center" vertical="center" wrapText="1"/>
    </xf>
    <xf numFmtId="0" fontId="0" fillId="15" borderId="28" xfId="0" applyFill="1" applyBorder="1" applyAlignment="1">
      <alignment horizontal="center" vertical="center" wrapText="1"/>
    </xf>
    <xf numFmtId="0" fontId="4" fillId="0" borderId="28" xfId="0" applyFont="1" applyBorder="1" applyAlignment="1">
      <alignment horizontal="center" vertical="center" wrapText="1" readingOrder="1"/>
    </xf>
    <xf numFmtId="0" fontId="4" fillId="0" borderId="44" xfId="0" applyFont="1" applyBorder="1" applyAlignment="1">
      <alignment horizontal="center" vertical="center" wrapText="1" readingOrder="1"/>
    </xf>
    <xf numFmtId="0" fontId="4" fillId="0" borderId="45" xfId="0" applyFont="1" applyBorder="1" applyAlignment="1">
      <alignment horizontal="center" vertical="center" wrapText="1" readingOrder="1"/>
    </xf>
    <xf numFmtId="0" fontId="0" fillId="0" borderId="46" xfId="0" applyBorder="1" applyAlignment="1">
      <alignment horizontal="center" vertical="center" wrapText="1"/>
    </xf>
    <xf numFmtId="0" fontId="0" fillId="0" borderId="39"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15" borderId="5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7561-3B34-493C-A7A3-45C60E3422D9}">
  <dimension ref="A1:Q8"/>
  <sheetViews>
    <sheetView tabSelected="1" zoomScale="70" zoomScaleNormal="70" workbookViewId="0"/>
  </sheetViews>
  <sheetFormatPr defaultColWidth="8.77734375" defaultRowHeight="14.4" x14ac:dyDescent="0.3"/>
  <cols>
    <col min="1" max="1" width="7.21875" bestFit="1" customWidth="1"/>
    <col min="2" max="2" width="8.77734375" bestFit="1" customWidth="1"/>
    <col min="3" max="3" width="43.21875" bestFit="1" customWidth="1"/>
    <col min="4" max="4" width="44.21875" bestFit="1" customWidth="1"/>
    <col min="5" max="5" width="31.44140625" customWidth="1"/>
    <col min="6" max="6" width="17.5546875" customWidth="1"/>
    <col min="7" max="7" width="20.21875" customWidth="1"/>
    <col min="8" max="8" width="23.21875" customWidth="1"/>
    <col min="9" max="9" width="39.44140625" customWidth="1"/>
    <col min="10" max="10" width="26.44140625" customWidth="1"/>
    <col min="11" max="11" width="42" customWidth="1"/>
    <col min="12" max="12" width="10.21875" customWidth="1"/>
    <col min="13" max="13" width="10.44140625" customWidth="1"/>
    <col min="14" max="14" width="158.5546875" style="101" customWidth="1"/>
    <col min="15" max="15" width="47.21875" customWidth="1"/>
    <col min="16" max="16" width="74.77734375" customWidth="1"/>
    <col min="17" max="17" width="96.21875" customWidth="1"/>
  </cols>
  <sheetData>
    <row r="1" spans="1:17" ht="29.4" thickBot="1" x14ac:dyDescent="0.35">
      <c r="A1" s="74" t="s">
        <v>0</v>
      </c>
      <c r="B1" s="75" t="s">
        <v>1</v>
      </c>
      <c r="C1" s="76" t="s">
        <v>2</v>
      </c>
      <c r="D1" s="77" t="s">
        <v>3</v>
      </c>
      <c r="E1" s="78" t="s">
        <v>4</v>
      </c>
      <c r="F1" s="79" t="s">
        <v>5</v>
      </c>
      <c r="G1" s="80" t="s">
        <v>6</v>
      </c>
      <c r="H1" s="81" t="s">
        <v>7</v>
      </c>
      <c r="I1" s="109" t="s">
        <v>8</v>
      </c>
      <c r="J1" s="118" t="s">
        <v>9</v>
      </c>
      <c r="K1" s="113" t="s">
        <v>10</v>
      </c>
      <c r="L1" s="82" t="s">
        <v>11</v>
      </c>
      <c r="M1" s="83" t="s">
        <v>12</v>
      </c>
      <c r="N1" s="84" t="s">
        <v>13</v>
      </c>
      <c r="O1" s="85" t="s">
        <v>14</v>
      </c>
      <c r="P1" s="86" t="s">
        <v>15</v>
      </c>
      <c r="Q1" s="87" t="s">
        <v>16</v>
      </c>
    </row>
    <row r="2" spans="1:17" ht="15" thickBot="1" x14ac:dyDescent="0.35">
      <c r="A2" s="88">
        <v>1</v>
      </c>
      <c r="B2" s="7" t="s">
        <v>17</v>
      </c>
      <c r="C2" s="7" t="s">
        <v>18</v>
      </c>
      <c r="D2" s="7" t="s">
        <v>19</v>
      </c>
      <c r="E2" s="7" t="s">
        <v>20</v>
      </c>
      <c r="F2" s="7" t="s">
        <v>115</v>
      </c>
      <c r="G2" s="7" t="s">
        <v>21</v>
      </c>
      <c r="H2" s="7" t="s">
        <v>21</v>
      </c>
      <c r="I2" s="102" t="s">
        <v>22</v>
      </c>
      <c r="J2" s="119">
        <v>1</v>
      </c>
      <c r="K2" s="106" t="s">
        <v>20</v>
      </c>
      <c r="L2" s="64">
        <v>1.8</v>
      </c>
      <c r="M2" s="64">
        <v>2.8</v>
      </c>
      <c r="N2" s="7" t="s">
        <v>23</v>
      </c>
      <c r="O2" s="7" t="s">
        <v>23</v>
      </c>
      <c r="P2" s="7" t="s">
        <v>24</v>
      </c>
      <c r="Q2" s="8" t="s">
        <v>25</v>
      </c>
    </row>
    <row r="3" spans="1:17" s="4" customFormat="1" ht="87" thickBot="1" x14ac:dyDescent="0.35">
      <c r="A3" s="89">
        <f>+A2+1</f>
        <v>2</v>
      </c>
      <c r="B3" s="7" t="s">
        <v>26</v>
      </c>
      <c r="C3" s="7" t="s">
        <v>27</v>
      </c>
      <c r="D3" s="7" t="s">
        <v>146</v>
      </c>
      <c r="E3" s="7" t="s">
        <v>20</v>
      </c>
      <c r="F3" s="7" t="s">
        <v>115</v>
      </c>
      <c r="G3" s="7" t="s">
        <v>29</v>
      </c>
      <c r="H3" s="7" t="s">
        <v>30</v>
      </c>
      <c r="I3" s="102" t="s">
        <v>31</v>
      </c>
      <c r="J3" s="119">
        <v>2</v>
      </c>
      <c r="K3" s="106" t="s">
        <v>20</v>
      </c>
      <c r="L3" s="7">
        <v>0.9</v>
      </c>
      <c r="M3" s="7">
        <v>1.1000000000000001</v>
      </c>
      <c r="N3" s="7" t="s">
        <v>32</v>
      </c>
      <c r="O3" s="7" t="s">
        <v>33</v>
      </c>
      <c r="P3" s="7" t="s">
        <v>34</v>
      </c>
      <c r="Q3" s="8" t="s">
        <v>25</v>
      </c>
    </row>
    <row r="4" spans="1:17" s="4" customFormat="1" ht="29.4" thickBot="1" x14ac:dyDescent="0.35">
      <c r="A4" s="89">
        <f t="shared" ref="A4:A7" si="0">+A3+1</f>
        <v>3</v>
      </c>
      <c r="B4" s="7" t="s">
        <v>35</v>
      </c>
      <c r="C4" s="64" t="s">
        <v>36</v>
      </c>
      <c r="D4" s="7" t="s">
        <v>147</v>
      </c>
      <c r="E4" s="7" t="s">
        <v>20</v>
      </c>
      <c r="F4" s="7" t="s">
        <v>115</v>
      </c>
      <c r="G4" s="7" t="s">
        <v>29</v>
      </c>
      <c r="H4" s="7" t="s">
        <v>30</v>
      </c>
      <c r="I4" s="102" t="s">
        <v>31</v>
      </c>
      <c r="J4" s="119">
        <v>3</v>
      </c>
      <c r="K4" s="106" t="s">
        <v>20</v>
      </c>
      <c r="L4" s="7">
        <v>0.75</v>
      </c>
      <c r="M4" s="7">
        <v>1.25</v>
      </c>
      <c r="N4" s="7" t="s">
        <v>38</v>
      </c>
      <c r="O4" s="7" t="s">
        <v>33</v>
      </c>
      <c r="P4" s="7" t="s">
        <v>39</v>
      </c>
      <c r="Q4" s="8" t="s">
        <v>25</v>
      </c>
    </row>
    <row r="5" spans="1:17" s="4" customFormat="1" ht="219.6" customHeight="1" thickBot="1" x14ac:dyDescent="0.35">
      <c r="A5" s="89">
        <f>A4+1</f>
        <v>4</v>
      </c>
      <c r="B5" s="7" t="s">
        <v>48</v>
      </c>
      <c r="C5" s="7" t="s">
        <v>49</v>
      </c>
      <c r="D5" s="7" t="s">
        <v>50</v>
      </c>
      <c r="E5" s="7" t="s">
        <v>20</v>
      </c>
      <c r="F5" s="7" t="s">
        <v>115</v>
      </c>
      <c r="G5" s="7" t="s">
        <v>29</v>
      </c>
      <c r="H5" s="7" t="s">
        <v>30</v>
      </c>
      <c r="I5" s="102" t="s">
        <v>31</v>
      </c>
      <c r="J5" s="119">
        <v>4</v>
      </c>
      <c r="K5" s="106" t="s">
        <v>20</v>
      </c>
      <c r="L5" s="7">
        <v>0.75</v>
      </c>
      <c r="M5" s="7">
        <v>1.25</v>
      </c>
      <c r="N5" s="7" t="s">
        <v>158</v>
      </c>
      <c r="O5" s="7" t="s">
        <v>51</v>
      </c>
      <c r="P5" s="7" t="s">
        <v>39</v>
      </c>
      <c r="Q5" s="8" t="s">
        <v>25</v>
      </c>
    </row>
    <row r="6" spans="1:17" s="4" customFormat="1" ht="101.4" thickBot="1" x14ac:dyDescent="0.35">
      <c r="A6" s="89">
        <f t="shared" si="0"/>
        <v>5</v>
      </c>
      <c r="B6" s="7" t="s">
        <v>52</v>
      </c>
      <c r="C6" s="7" t="s">
        <v>53</v>
      </c>
      <c r="D6" s="7" t="s">
        <v>54</v>
      </c>
      <c r="E6" s="7" t="s">
        <v>20</v>
      </c>
      <c r="F6" s="7" t="s">
        <v>115</v>
      </c>
      <c r="G6" s="7" t="s">
        <v>29</v>
      </c>
      <c r="H6" s="7" t="s">
        <v>30</v>
      </c>
      <c r="I6" s="102" t="s">
        <v>31</v>
      </c>
      <c r="J6" s="119">
        <v>5</v>
      </c>
      <c r="K6" s="106" t="s">
        <v>20</v>
      </c>
      <c r="L6" s="54">
        <v>0.5</v>
      </c>
      <c r="M6" s="7">
        <v>1.5</v>
      </c>
      <c r="N6" s="7" t="s">
        <v>143</v>
      </c>
      <c r="O6" s="7" t="s">
        <v>51</v>
      </c>
      <c r="P6" s="7" t="s">
        <v>39</v>
      </c>
      <c r="Q6" s="8" t="s">
        <v>25</v>
      </c>
    </row>
    <row r="7" spans="1:17" s="4" customFormat="1" ht="44.4" customHeight="1" thickBot="1" x14ac:dyDescent="0.35">
      <c r="A7" s="89">
        <f t="shared" si="0"/>
        <v>6</v>
      </c>
      <c r="B7" s="7" t="s">
        <v>55</v>
      </c>
      <c r="C7" s="7" t="s">
        <v>56</v>
      </c>
      <c r="D7" s="7" t="s">
        <v>57</v>
      </c>
      <c r="E7" s="7" t="s">
        <v>20</v>
      </c>
      <c r="F7" s="7" t="s">
        <v>115</v>
      </c>
      <c r="G7" s="7" t="s">
        <v>29</v>
      </c>
      <c r="H7" s="7" t="s">
        <v>30</v>
      </c>
      <c r="I7" s="102" t="s">
        <v>31</v>
      </c>
      <c r="J7" s="119">
        <v>6</v>
      </c>
      <c r="K7" s="106" t="s">
        <v>20</v>
      </c>
      <c r="L7" s="7">
        <v>0.5</v>
      </c>
      <c r="M7" s="7">
        <v>1</v>
      </c>
      <c r="N7" s="7" t="s">
        <v>159</v>
      </c>
      <c r="O7" s="7" t="s">
        <v>51</v>
      </c>
      <c r="P7" s="7" t="s">
        <v>39</v>
      </c>
      <c r="Q7" s="8" t="s">
        <v>25</v>
      </c>
    </row>
    <row r="8" spans="1:17" ht="29.4" thickBot="1" x14ac:dyDescent="0.35">
      <c r="A8" s="97">
        <v>7</v>
      </c>
      <c r="B8" s="98" t="s">
        <v>23</v>
      </c>
      <c r="C8" s="7" t="s">
        <v>84</v>
      </c>
      <c r="D8" s="7" t="s">
        <v>85</v>
      </c>
      <c r="E8" s="7" t="s">
        <v>20</v>
      </c>
      <c r="F8" s="7" t="s">
        <v>115</v>
      </c>
      <c r="G8" s="7" t="s">
        <v>29</v>
      </c>
      <c r="H8" s="7" t="s">
        <v>30</v>
      </c>
      <c r="I8" s="102" t="s">
        <v>31</v>
      </c>
      <c r="J8" s="129">
        <v>7</v>
      </c>
      <c r="K8" s="106" t="s">
        <v>20</v>
      </c>
      <c r="L8" s="7">
        <v>0.99990000000000001</v>
      </c>
      <c r="M8" s="7">
        <v>1.0001</v>
      </c>
      <c r="N8" s="7" t="s">
        <v>150</v>
      </c>
      <c r="O8" s="7" t="s">
        <v>80</v>
      </c>
      <c r="P8" s="7"/>
      <c r="Q8" s="8"/>
    </row>
  </sheetData>
  <phoneticPr fontId="10"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C19F-E543-4EAE-A8A5-5F7013CFBB54}">
  <dimension ref="A1:Q14"/>
  <sheetViews>
    <sheetView zoomScale="70" zoomScaleNormal="70" workbookViewId="0">
      <selection activeCell="K13" sqref="K13"/>
    </sheetView>
  </sheetViews>
  <sheetFormatPr defaultColWidth="8.77734375" defaultRowHeight="14.4" x14ac:dyDescent="0.3"/>
  <cols>
    <col min="1" max="1" width="7.21875" bestFit="1" customWidth="1"/>
    <col min="2" max="2" width="8.77734375" bestFit="1" customWidth="1"/>
    <col min="3" max="3" width="43.21875" bestFit="1" customWidth="1"/>
    <col min="4" max="4" width="44.21875" bestFit="1" customWidth="1"/>
    <col min="5" max="5" width="31.44140625" customWidth="1"/>
    <col min="6" max="6" width="17.5546875" customWidth="1"/>
    <col min="7" max="7" width="20.21875" customWidth="1"/>
    <col min="8" max="8" width="23.21875" customWidth="1"/>
    <col min="9" max="9" width="39.44140625" customWidth="1"/>
    <col min="10" max="10" width="26.44140625" customWidth="1"/>
    <col min="11" max="11" width="42" customWidth="1"/>
    <col min="12" max="12" width="10.21875" customWidth="1"/>
    <col min="13" max="13" width="10.44140625" customWidth="1"/>
    <col min="14" max="14" width="158.5546875" style="101" customWidth="1"/>
    <col min="15" max="15" width="47.21875" customWidth="1"/>
    <col min="16" max="16" width="74.77734375" customWidth="1"/>
    <col min="17" max="17" width="96.21875" customWidth="1"/>
  </cols>
  <sheetData>
    <row r="1" spans="1:17" ht="29.4" thickBot="1" x14ac:dyDescent="0.35">
      <c r="A1" s="74" t="s">
        <v>0</v>
      </c>
      <c r="B1" s="75" t="s">
        <v>1</v>
      </c>
      <c r="C1" s="76" t="s">
        <v>2</v>
      </c>
      <c r="D1" s="77" t="s">
        <v>3</v>
      </c>
      <c r="E1" s="78" t="s">
        <v>4</v>
      </c>
      <c r="F1" s="79" t="s">
        <v>5</v>
      </c>
      <c r="G1" s="80" t="s">
        <v>6</v>
      </c>
      <c r="H1" s="81" t="s">
        <v>7</v>
      </c>
      <c r="I1" s="109" t="s">
        <v>8</v>
      </c>
      <c r="J1" s="118" t="s">
        <v>9</v>
      </c>
      <c r="K1" s="113" t="s">
        <v>10</v>
      </c>
      <c r="L1" s="82" t="s">
        <v>11</v>
      </c>
      <c r="M1" s="83" t="s">
        <v>12</v>
      </c>
      <c r="N1" s="84" t="s">
        <v>13</v>
      </c>
      <c r="O1" s="85" t="s">
        <v>14</v>
      </c>
      <c r="P1" s="86" t="s">
        <v>15</v>
      </c>
      <c r="Q1" s="87" t="s">
        <v>16</v>
      </c>
    </row>
    <row r="2" spans="1:17" ht="15" thickBot="1" x14ac:dyDescent="0.35">
      <c r="A2" s="88">
        <v>1</v>
      </c>
      <c r="B2" s="7" t="s">
        <v>17</v>
      </c>
      <c r="C2" s="7" t="s">
        <v>18</v>
      </c>
      <c r="D2" s="7" t="s">
        <v>19</v>
      </c>
      <c r="E2" s="7" t="s">
        <v>20</v>
      </c>
      <c r="F2" s="7" t="s">
        <v>115</v>
      </c>
      <c r="G2" s="7" t="s">
        <v>21</v>
      </c>
      <c r="H2" s="7" t="s">
        <v>21</v>
      </c>
      <c r="I2" s="102" t="s">
        <v>22</v>
      </c>
      <c r="J2" s="119">
        <v>1</v>
      </c>
      <c r="K2" s="106" t="s">
        <v>20</v>
      </c>
      <c r="L2" s="64">
        <v>1.8</v>
      </c>
      <c r="M2" s="64">
        <v>2.8</v>
      </c>
      <c r="N2" s="7" t="s">
        <v>23</v>
      </c>
      <c r="O2" s="7" t="s">
        <v>23</v>
      </c>
      <c r="P2" s="7" t="s">
        <v>24</v>
      </c>
      <c r="Q2" s="8" t="s">
        <v>25</v>
      </c>
    </row>
    <row r="3" spans="1:17" s="4" customFormat="1" ht="87" thickBot="1" x14ac:dyDescent="0.35">
      <c r="A3" s="89">
        <f>+A2+1</f>
        <v>2</v>
      </c>
      <c r="B3" s="7" t="s">
        <v>26</v>
      </c>
      <c r="C3" s="7" t="s">
        <v>27</v>
      </c>
      <c r="D3" s="7" t="s">
        <v>146</v>
      </c>
      <c r="E3" s="7" t="s">
        <v>20</v>
      </c>
      <c r="F3" s="7" t="s">
        <v>115</v>
      </c>
      <c r="G3" s="7" t="s">
        <v>29</v>
      </c>
      <c r="H3" s="7" t="s">
        <v>30</v>
      </c>
      <c r="I3" s="102" t="s">
        <v>31</v>
      </c>
      <c r="J3" s="119">
        <v>2</v>
      </c>
      <c r="K3" s="106" t="s">
        <v>20</v>
      </c>
      <c r="L3" s="7">
        <v>0.9</v>
      </c>
      <c r="M3" s="7">
        <v>1.1000000000000001</v>
      </c>
      <c r="N3" s="7" t="s">
        <v>32</v>
      </c>
      <c r="O3" s="7" t="s">
        <v>33</v>
      </c>
      <c r="P3" s="7" t="s">
        <v>34</v>
      </c>
      <c r="Q3" s="8" t="s">
        <v>25</v>
      </c>
    </row>
    <row r="4" spans="1:17" s="4" customFormat="1" ht="29.4" thickBot="1" x14ac:dyDescent="0.35">
      <c r="A4" s="89">
        <f t="shared" ref="A4:A7" si="0">+A3+1</f>
        <v>3</v>
      </c>
      <c r="B4" s="7" t="s">
        <v>35</v>
      </c>
      <c r="C4" s="64" t="s">
        <v>36</v>
      </c>
      <c r="D4" s="7" t="s">
        <v>147</v>
      </c>
      <c r="E4" s="7" t="s">
        <v>20</v>
      </c>
      <c r="F4" s="7" t="s">
        <v>115</v>
      </c>
      <c r="G4" s="7" t="s">
        <v>29</v>
      </c>
      <c r="H4" s="7" t="s">
        <v>30</v>
      </c>
      <c r="I4" s="102" t="s">
        <v>31</v>
      </c>
      <c r="J4" s="119">
        <v>3</v>
      </c>
      <c r="K4" s="106" t="s">
        <v>20</v>
      </c>
      <c r="L4" s="7">
        <v>0.75</v>
      </c>
      <c r="M4" s="7">
        <v>1.25</v>
      </c>
      <c r="N4" s="7" t="s">
        <v>38</v>
      </c>
      <c r="O4" s="7" t="s">
        <v>33</v>
      </c>
      <c r="P4" s="7" t="s">
        <v>39</v>
      </c>
      <c r="Q4" s="8" t="s">
        <v>25</v>
      </c>
    </row>
    <row r="5" spans="1:17" s="4" customFormat="1" ht="219.6" customHeight="1" thickBot="1" x14ac:dyDescent="0.35">
      <c r="A5" s="89">
        <f>A4+1</f>
        <v>4</v>
      </c>
      <c r="B5" s="7" t="s">
        <v>48</v>
      </c>
      <c r="C5" s="7" t="s">
        <v>49</v>
      </c>
      <c r="D5" s="7" t="s">
        <v>50</v>
      </c>
      <c r="E5" s="7" t="s">
        <v>20</v>
      </c>
      <c r="F5" s="7" t="s">
        <v>115</v>
      </c>
      <c r="G5" s="7" t="s">
        <v>29</v>
      </c>
      <c r="H5" s="7" t="s">
        <v>30</v>
      </c>
      <c r="I5" s="102" t="s">
        <v>31</v>
      </c>
      <c r="J5" s="119">
        <v>4</v>
      </c>
      <c r="K5" s="106" t="s">
        <v>20</v>
      </c>
      <c r="L5" s="7">
        <v>0.75</v>
      </c>
      <c r="M5" s="7">
        <v>1.25</v>
      </c>
      <c r="N5" s="7" t="s">
        <v>158</v>
      </c>
      <c r="O5" s="7" t="s">
        <v>51</v>
      </c>
      <c r="P5" s="7" t="s">
        <v>39</v>
      </c>
      <c r="Q5" s="8" t="s">
        <v>25</v>
      </c>
    </row>
    <row r="6" spans="1:17" s="4" customFormat="1" ht="101.4" thickBot="1" x14ac:dyDescent="0.35">
      <c r="A6" s="89">
        <f t="shared" si="0"/>
        <v>5</v>
      </c>
      <c r="B6" s="7" t="s">
        <v>52</v>
      </c>
      <c r="C6" s="7" t="s">
        <v>53</v>
      </c>
      <c r="D6" s="7" t="s">
        <v>54</v>
      </c>
      <c r="E6" s="7" t="s">
        <v>20</v>
      </c>
      <c r="F6" s="7" t="s">
        <v>115</v>
      </c>
      <c r="G6" s="7" t="s">
        <v>29</v>
      </c>
      <c r="H6" s="7" t="s">
        <v>30</v>
      </c>
      <c r="I6" s="102" t="s">
        <v>31</v>
      </c>
      <c r="J6" s="119">
        <v>5</v>
      </c>
      <c r="K6" s="106" t="s">
        <v>20</v>
      </c>
      <c r="L6" s="54">
        <v>0.5</v>
      </c>
      <c r="M6" s="7">
        <v>1.5</v>
      </c>
      <c r="N6" s="7" t="s">
        <v>143</v>
      </c>
      <c r="O6" s="7" t="s">
        <v>51</v>
      </c>
      <c r="P6" s="7" t="s">
        <v>39</v>
      </c>
      <c r="Q6" s="8" t="s">
        <v>25</v>
      </c>
    </row>
    <row r="7" spans="1:17" s="4" customFormat="1" ht="44.4" customHeight="1" thickBot="1" x14ac:dyDescent="0.35">
      <c r="A7" s="89">
        <f t="shared" si="0"/>
        <v>6</v>
      </c>
      <c r="B7" s="7" t="s">
        <v>55</v>
      </c>
      <c r="C7" s="7" t="s">
        <v>56</v>
      </c>
      <c r="D7" s="7" t="s">
        <v>57</v>
      </c>
      <c r="E7" s="7" t="s">
        <v>20</v>
      </c>
      <c r="F7" s="7" t="s">
        <v>115</v>
      </c>
      <c r="G7" s="7" t="s">
        <v>29</v>
      </c>
      <c r="H7" s="7" t="s">
        <v>30</v>
      </c>
      <c r="I7" s="102" t="s">
        <v>31</v>
      </c>
      <c r="J7" s="119">
        <v>6</v>
      </c>
      <c r="K7" s="106" t="s">
        <v>20</v>
      </c>
      <c r="L7" s="7">
        <v>0.5</v>
      </c>
      <c r="M7" s="7">
        <v>1</v>
      </c>
      <c r="N7" s="7" t="s">
        <v>159</v>
      </c>
      <c r="O7" s="7" t="s">
        <v>51</v>
      </c>
      <c r="P7" s="7" t="s">
        <v>39</v>
      </c>
      <c r="Q7" s="8" t="s">
        <v>25</v>
      </c>
    </row>
    <row r="8" spans="1:17" x14ac:dyDescent="0.3">
      <c r="A8" s="92">
        <v>7</v>
      </c>
      <c r="B8" s="33" t="s">
        <v>63</v>
      </c>
      <c r="C8" s="13" t="s">
        <v>64</v>
      </c>
      <c r="D8" s="13" t="s">
        <v>65</v>
      </c>
      <c r="E8" s="13" t="s">
        <v>20</v>
      </c>
      <c r="F8" s="59" t="s">
        <v>116</v>
      </c>
      <c r="G8" s="13" t="s">
        <v>66</v>
      </c>
      <c r="H8" s="13" t="s">
        <v>67</v>
      </c>
      <c r="I8" s="110" t="s">
        <v>22</v>
      </c>
      <c r="J8" s="107">
        <v>7</v>
      </c>
      <c r="K8" s="114" t="s">
        <v>20</v>
      </c>
      <c r="L8" s="120">
        <v>0.28999999999999998</v>
      </c>
      <c r="M8" s="120">
        <v>0.35</v>
      </c>
      <c r="N8" s="13" t="s">
        <v>68</v>
      </c>
      <c r="O8" s="13" t="s">
        <v>33</v>
      </c>
      <c r="P8" s="13" t="s">
        <v>69</v>
      </c>
      <c r="Q8" s="93" t="s">
        <v>70</v>
      </c>
    </row>
    <row r="9" spans="1:17" ht="28.8" x14ac:dyDescent="0.3">
      <c r="A9" s="94">
        <f>+A8</f>
        <v>7</v>
      </c>
      <c r="B9" s="36" t="str">
        <f>+B8</f>
        <v>L_E_1</v>
      </c>
      <c r="C9" s="19" t="s">
        <v>64</v>
      </c>
      <c r="D9" s="19" t="s">
        <v>65</v>
      </c>
      <c r="E9" s="19" t="s">
        <v>20</v>
      </c>
      <c r="F9" s="60" t="s">
        <v>116</v>
      </c>
      <c r="G9" s="19" t="s">
        <v>66</v>
      </c>
      <c r="H9" s="19" t="s">
        <v>71</v>
      </c>
      <c r="I9" s="111" t="s">
        <v>22</v>
      </c>
      <c r="J9" s="108">
        <v>8</v>
      </c>
      <c r="K9" s="115" t="s">
        <v>20</v>
      </c>
      <c r="L9" s="121">
        <v>2030</v>
      </c>
      <c r="M9" s="121">
        <v>2040</v>
      </c>
      <c r="N9" s="19" t="s">
        <v>68</v>
      </c>
      <c r="O9" s="19" t="s">
        <v>33</v>
      </c>
      <c r="P9" s="19" t="s">
        <v>69</v>
      </c>
      <c r="Q9" s="95" t="s">
        <v>70</v>
      </c>
    </row>
    <row r="10" spans="1:17" ht="29.4" thickBot="1" x14ac:dyDescent="0.35">
      <c r="A10" s="96">
        <f>+A9</f>
        <v>7</v>
      </c>
      <c r="B10" s="39" t="str">
        <f>+B9</f>
        <v>L_E_1</v>
      </c>
      <c r="C10" s="19" t="s">
        <v>64</v>
      </c>
      <c r="D10" s="19" t="s">
        <v>65</v>
      </c>
      <c r="E10" s="19" t="s">
        <v>20</v>
      </c>
      <c r="F10" s="60" t="s">
        <v>116</v>
      </c>
      <c r="G10" s="19" t="s">
        <v>66</v>
      </c>
      <c r="H10" s="19" t="s">
        <v>72</v>
      </c>
      <c r="I10" s="111" t="s">
        <v>22</v>
      </c>
      <c r="J10" s="108">
        <v>9</v>
      </c>
      <c r="K10" s="116">
        <f>+J9</f>
        <v>8</v>
      </c>
      <c r="L10" s="121">
        <v>0.05</v>
      </c>
      <c r="M10" s="121">
        <v>0.15</v>
      </c>
      <c r="N10" s="19" t="s">
        <v>68</v>
      </c>
      <c r="O10" s="19" t="s">
        <v>33</v>
      </c>
      <c r="P10" s="19" t="s">
        <v>69</v>
      </c>
      <c r="Q10" s="95" t="s">
        <v>70</v>
      </c>
    </row>
    <row r="11" spans="1:17" x14ac:dyDescent="0.3">
      <c r="A11" s="92">
        <f>+A8+1</f>
        <v>8</v>
      </c>
      <c r="B11" s="33" t="s">
        <v>73</v>
      </c>
      <c r="C11" s="13" t="s">
        <v>64</v>
      </c>
      <c r="D11" s="13" t="s">
        <v>74</v>
      </c>
      <c r="E11" s="13" t="s">
        <v>20</v>
      </c>
      <c r="F11" s="59" t="s">
        <v>116</v>
      </c>
      <c r="G11" s="13" t="s">
        <v>66</v>
      </c>
      <c r="H11" s="13" t="s">
        <v>67</v>
      </c>
      <c r="I11" s="110" t="s">
        <v>22</v>
      </c>
      <c r="J11" s="107">
        <v>10</v>
      </c>
      <c r="K11" s="114" t="s">
        <v>20</v>
      </c>
      <c r="L11" s="120">
        <v>0.04</v>
      </c>
      <c r="M11" s="120">
        <v>0.06</v>
      </c>
      <c r="N11" s="13" t="s">
        <v>75</v>
      </c>
      <c r="O11" s="13" t="s">
        <v>33</v>
      </c>
      <c r="P11" s="13" t="s">
        <v>76</v>
      </c>
      <c r="Q11" s="93" t="s">
        <v>70</v>
      </c>
    </row>
    <row r="12" spans="1:17" ht="28.8" x14ac:dyDescent="0.3">
      <c r="A12" s="94">
        <f>+A11</f>
        <v>8</v>
      </c>
      <c r="B12" s="36" t="str">
        <f>+B11</f>
        <v>L_E_2</v>
      </c>
      <c r="C12" s="19" t="s">
        <v>64</v>
      </c>
      <c r="D12" s="19" t="s">
        <v>74</v>
      </c>
      <c r="E12" s="19" t="s">
        <v>20</v>
      </c>
      <c r="F12" s="60" t="s">
        <v>116</v>
      </c>
      <c r="G12" s="19" t="s">
        <v>66</v>
      </c>
      <c r="H12" s="19" t="s">
        <v>71</v>
      </c>
      <c r="I12" s="111" t="s">
        <v>22</v>
      </c>
      <c r="J12" s="108">
        <v>11</v>
      </c>
      <c r="K12" s="115" t="s">
        <v>20</v>
      </c>
      <c r="L12" s="121">
        <v>2035</v>
      </c>
      <c r="M12" s="121">
        <v>2040</v>
      </c>
      <c r="N12" s="19" t="s">
        <v>75</v>
      </c>
      <c r="O12" s="19" t="s">
        <v>33</v>
      </c>
      <c r="P12" s="19" t="s">
        <v>76</v>
      </c>
      <c r="Q12" s="95" t="s">
        <v>70</v>
      </c>
    </row>
    <row r="13" spans="1:17" ht="29.4" thickBot="1" x14ac:dyDescent="0.35">
      <c r="A13" s="96">
        <f>+A12</f>
        <v>8</v>
      </c>
      <c r="B13" s="39" t="str">
        <f>+B12</f>
        <v>L_E_2</v>
      </c>
      <c r="C13" s="26" t="s">
        <v>64</v>
      </c>
      <c r="D13" s="26" t="s">
        <v>74</v>
      </c>
      <c r="E13" s="26" t="s">
        <v>20</v>
      </c>
      <c r="F13" s="61" t="s">
        <v>116</v>
      </c>
      <c r="G13" s="26" t="s">
        <v>66</v>
      </c>
      <c r="H13" s="26" t="s">
        <v>72</v>
      </c>
      <c r="I13" s="112" t="s">
        <v>22</v>
      </c>
      <c r="J13" s="140">
        <v>12</v>
      </c>
      <c r="K13" s="117">
        <f>+J12</f>
        <v>11</v>
      </c>
      <c r="L13" s="122">
        <v>1.4999999999999999E-2</v>
      </c>
      <c r="M13" s="122">
        <v>3.5000000000000003E-2</v>
      </c>
      <c r="N13" s="26" t="s">
        <v>75</v>
      </c>
      <c r="O13" s="26" t="s">
        <v>33</v>
      </c>
      <c r="P13" s="26" t="s">
        <v>76</v>
      </c>
      <c r="Q13" s="30" t="s">
        <v>70</v>
      </c>
    </row>
    <row r="14" spans="1:17" ht="29.4" thickBot="1" x14ac:dyDescent="0.35">
      <c r="A14" s="97">
        <f>A13+1</f>
        <v>9</v>
      </c>
      <c r="B14" s="98" t="s">
        <v>23</v>
      </c>
      <c r="C14" s="7" t="s">
        <v>84</v>
      </c>
      <c r="D14" s="7" t="s">
        <v>85</v>
      </c>
      <c r="E14" s="7" t="s">
        <v>20</v>
      </c>
      <c r="F14" s="7" t="s">
        <v>115</v>
      </c>
      <c r="G14" s="7" t="s">
        <v>29</v>
      </c>
      <c r="H14" s="7" t="s">
        <v>30</v>
      </c>
      <c r="I14" s="102" t="s">
        <v>31</v>
      </c>
      <c r="J14" s="129">
        <v>13</v>
      </c>
      <c r="K14" s="106" t="s">
        <v>20</v>
      </c>
      <c r="L14" s="7">
        <v>0.99990000000000001</v>
      </c>
      <c r="M14" s="7">
        <v>1.0001</v>
      </c>
      <c r="N14" s="7" t="s">
        <v>150</v>
      </c>
      <c r="O14" s="7" t="s">
        <v>80</v>
      </c>
      <c r="P14" s="7"/>
      <c r="Q14" s="8"/>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B867-BDCD-4AF3-BC08-659C51746EA7}">
  <dimension ref="A1:Q29"/>
  <sheetViews>
    <sheetView topLeftCell="A6" zoomScale="70" zoomScaleNormal="70" workbookViewId="0">
      <selection activeCell="Q16" sqref="A16:Q16"/>
    </sheetView>
  </sheetViews>
  <sheetFormatPr defaultColWidth="8.77734375" defaultRowHeight="14.4" x14ac:dyDescent="0.3"/>
  <cols>
    <col min="1" max="1" width="7.21875" bestFit="1" customWidth="1"/>
    <col min="2" max="2" width="8.77734375" bestFit="1" customWidth="1"/>
    <col min="3" max="3" width="43.21875" bestFit="1" customWidth="1"/>
    <col min="4" max="4" width="44.21875" bestFit="1" customWidth="1"/>
    <col min="5" max="5" width="31.44140625" customWidth="1"/>
    <col min="6" max="6" width="17.5546875" customWidth="1"/>
    <col min="7" max="7" width="20.21875" customWidth="1"/>
    <col min="8" max="8" width="23.21875" customWidth="1"/>
    <col min="9" max="9" width="39.44140625" customWidth="1"/>
    <col min="10" max="10" width="26.44140625" customWidth="1"/>
    <col min="11" max="11" width="42" customWidth="1"/>
    <col min="12" max="12" width="10.21875" customWidth="1"/>
    <col min="13" max="13" width="10.44140625" customWidth="1"/>
    <col min="14" max="14" width="158.5546875" style="101" customWidth="1"/>
    <col min="15" max="15" width="47.21875" customWidth="1"/>
    <col min="16" max="16" width="74.77734375" customWidth="1"/>
    <col min="17" max="17" width="96.21875" customWidth="1"/>
  </cols>
  <sheetData>
    <row r="1" spans="1:17" ht="29.4" thickBot="1" x14ac:dyDescent="0.35">
      <c r="A1" s="74" t="s">
        <v>0</v>
      </c>
      <c r="B1" s="75" t="s">
        <v>1</v>
      </c>
      <c r="C1" s="76" t="s">
        <v>2</v>
      </c>
      <c r="D1" s="77" t="s">
        <v>3</v>
      </c>
      <c r="E1" s="78" t="s">
        <v>4</v>
      </c>
      <c r="F1" s="79" t="s">
        <v>5</v>
      </c>
      <c r="G1" s="80" t="s">
        <v>6</v>
      </c>
      <c r="H1" s="81" t="s">
        <v>7</v>
      </c>
      <c r="I1" s="109" t="s">
        <v>8</v>
      </c>
      <c r="J1" s="118" t="s">
        <v>9</v>
      </c>
      <c r="K1" s="113" t="s">
        <v>10</v>
      </c>
      <c r="L1" s="82" t="s">
        <v>11</v>
      </c>
      <c r="M1" s="83" t="s">
        <v>12</v>
      </c>
      <c r="N1" s="84" t="s">
        <v>13</v>
      </c>
      <c r="O1" s="85" t="s">
        <v>14</v>
      </c>
      <c r="P1" s="86" t="s">
        <v>15</v>
      </c>
      <c r="Q1" s="87" t="s">
        <v>16</v>
      </c>
    </row>
    <row r="2" spans="1:17" ht="15" thickBot="1" x14ac:dyDescent="0.35">
      <c r="A2" s="88">
        <v>1</v>
      </c>
      <c r="B2" s="7" t="s">
        <v>17</v>
      </c>
      <c r="C2" s="7" t="s">
        <v>18</v>
      </c>
      <c r="D2" s="7" t="s">
        <v>19</v>
      </c>
      <c r="E2" s="7" t="s">
        <v>20</v>
      </c>
      <c r="F2" s="7" t="s">
        <v>115</v>
      </c>
      <c r="G2" s="7" t="s">
        <v>21</v>
      </c>
      <c r="H2" s="7" t="s">
        <v>21</v>
      </c>
      <c r="I2" s="102" t="s">
        <v>22</v>
      </c>
      <c r="J2" s="119">
        <v>1</v>
      </c>
      <c r="K2" s="106" t="s">
        <v>20</v>
      </c>
      <c r="L2" s="64">
        <v>1.8</v>
      </c>
      <c r="M2" s="64">
        <v>2.8</v>
      </c>
      <c r="N2" s="7" t="s">
        <v>23</v>
      </c>
      <c r="O2" s="7" t="s">
        <v>23</v>
      </c>
      <c r="P2" s="7" t="s">
        <v>24</v>
      </c>
      <c r="Q2" s="8" t="s">
        <v>25</v>
      </c>
    </row>
    <row r="3" spans="1:17" s="4" customFormat="1" ht="87" thickBot="1" x14ac:dyDescent="0.35">
      <c r="A3" s="89">
        <f>+A2+1</f>
        <v>2</v>
      </c>
      <c r="B3" s="7" t="s">
        <v>26</v>
      </c>
      <c r="C3" s="7" t="s">
        <v>27</v>
      </c>
      <c r="D3" s="7" t="s">
        <v>146</v>
      </c>
      <c r="E3" s="7" t="s">
        <v>20</v>
      </c>
      <c r="F3" s="7" t="s">
        <v>115</v>
      </c>
      <c r="G3" s="7" t="s">
        <v>29</v>
      </c>
      <c r="H3" s="7" t="s">
        <v>30</v>
      </c>
      <c r="I3" s="102" t="s">
        <v>31</v>
      </c>
      <c r="J3" s="119">
        <v>2</v>
      </c>
      <c r="K3" s="106" t="s">
        <v>20</v>
      </c>
      <c r="L3" s="7">
        <v>0.9</v>
      </c>
      <c r="M3" s="7">
        <v>1.1000000000000001</v>
      </c>
      <c r="N3" s="7" t="s">
        <v>32</v>
      </c>
      <c r="O3" s="7" t="s">
        <v>33</v>
      </c>
      <c r="P3" s="7" t="s">
        <v>34</v>
      </c>
      <c r="Q3" s="8" t="s">
        <v>25</v>
      </c>
    </row>
    <row r="4" spans="1:17" s="4" customFormat="1" ht="29.4" thickBot="1" x14ac:dyDescent="0.35">
      <c r="A4" s="89">
        <f t="shared" ref="A4:A8" si="0">+A3+1</f>
        <v>3</v>
      </c>
      <c r="B4" s="7" t="s">
        <v>35</v>
      </c>
      <c r="C4" s="64" t="s">
        <v>36</v>
      </c>
      <c r="D4" s="7" t="s">
        <v>147</v>
      </c>
      <c r="E4" s="7" t="s">
        <v>20</v>
      </c>
      <c r="F4" s="7" t="s">
        <v>115</v>
      </c>
      <c r="G4" s="7" t="s">
        <v>29</v>
      </c>
      <c r="H4" s="7" t="s">
        <v>30</v>
      </c>
      <c r="I4" s="102" t="s">
        <v>31</v>
      </c>
      <c r="J4" s="119">
        <v>3</v>
      </c>
      <c r="K4" s="106" t="s">
        <v>20</v>
      </c>
      <c r="L4" s="7">
        <v>0.75</v>
      </c>
      <c r="M4" s="7">
        <v>1.25</v>
      </c>
      <c r="N4" s="7" t="s">
        <v>38</v>
      </c>
      <c r="O4" s="7" t="s">
        <v>33</v>
      </c>
      <c r="P4" s="7" t="s">
        <v>39</v>
      </c>
      <c r="Q4" s="8" t="s">
        <v>25</v>
      </c>
    </row>
    <row r="5" spans="1:17" s="4" customFormat="1" ht="29.4" thickBot="1" x14ac:dyDescent="0.35">
      <c r="A5" s="90">
        <f>A4+1</f>
        <v>4</v>
      </c>
      <c r="B5" s="7" t="s">
        <v>40</v>
      </c>
      <c r="C5" s="7" t="s">
        <v>41</v>
      </c>
      <c r="D5" s="7" t="s">
        <v>42</v>
      </c>
      <c r="E5" s="7" t="s">
        <v>20</v>
      </c>
      <c r="F5" s="7" t="s">
        <v>115</v>
      </c>
      <c r="G5" s="7" t="s">
        <v>29</v>
      </c>
      <c r="H5" s="7" t="s">
        <v>30</v>
      </c>
      <c r="I5" s="102" t="s">
        <v>31</v>
      </c>
      <c r="J5" s="119">
        <v>4</v>
      </c>
      <c r="K5" s="106" t="s">
        <v>20</v>
      </c>
      <c r="L5" s="7">
        <v>0.5</v>
      </c>
      <c r="M5" s="7">
        <v>1.5</v>
      </c>
      <c r="N5" s="7" t="s">
        <v>122</v>
      </c>
      <c r="O5" s="7" t="s">
        <v>43</v>
      </c>
      <c r="P5" s="7" t="s">
        <v>39</v>
      </c>
      <c r="Q5" s="8" t="s">
        <v>25</v>
      </c>
    </row>
    <row r="6" spans="1:17" s="4" customFormat="1" ht="219.6" customHeight="1" thickBot="1" x14ac:dyDescent="0.35">
      <c r="A6" s="89">
        <f>+A5+1</f>
        <v>5</v>
      </c>
      <c r="B6" s="7" t="s">
        <v>48</v>
      </c>
      <c r="C6" s="7" t="s">
        <v>49</v>
      </c>
      <c r="D6" s="7" t="s">
        <v>50</v>
      </c>
      <c r="E6" s="7" t="s">
        <v>20</v>
      </c>
      <c r="F6" s="7" t="s">
        <v>115</v>
      </c>
      <c r="G6" s="7" t="s">
        <v>29</v>
      </c>
      <c r="H6" s="7" t="s">
        <v>30</v>
      </c>
      <c r="I6" s="102" t="s">
        <v>31</v>
      </c>
      <c r="J6" s="119">
        <v>5</v>
      </c>
      <c r="K6" s="106" t="s">
        <v>20</v>
      </c>
      <c r="L6" s="7">
        <v>0.75</v>
      </c>
      <c r="M6" s="7">
        <v>1.25</v>
      </c>
      <c r="N6" s="7" t="s">
        <v>158</v>
      </c>
      <c r="O6" s="7" t="s">
        <v>51</v>
      </c>
      <c r="P6" s="7" t="s">
        <v>39</v>
      </c>
      <c r="Q6" s="8" t="s">
        <v>25</v>
      </c>
    </row>
    <row r="7" spans="1:17" s="4" customFormat="1" ht="101.4" thickBot="1" x14ac:dyDescent="0.35">
      <c r="A7" s="89">
        <f t="shared" si="0"/>
        <v>6</v>
      </c>
      <c r="B7" s="7" t="s">
        <v>52</v>
      </c>
      <c r="C7" s="7" t="s">
        <v>53</v>
      </c>
      <c r="D7" s="7" t="s">
        <v>54</v>
      </c>
      <c r="E7" s="7" t="s">
        <v>20</v>
      </c>
      <c r="F7" s="7" t="s">
        <v>115</v>
      </c>
      <c r="G7" s="7" t="s">
        <v>29</v>
      </c>
      <c r="H7" s="7" t="s">
        <v>30</v>
      </c>
      <c r="I7" s="102" t="s">
        <v>31</v>
      </c>
      <c r="J7" s="119">
        <v>6</v>
      </c>
      <c r="K7" s="106" t="s">
        <v>20</v>
      </c>
      <c r="L7" s="54">
        <v>0.5</v>
      </c>
      <c r="M7" s="7">
        <v>1.5</v>
      </c>
      <c r="N7" s="7" t="s">
        <v>143</v>
      </c>
      <c r="O7" s="7" t="s">
        <v>51</v>
      </c>
      <c r="P7" s="7" t="s">
        <v>39</v>
      </c>
      <c r="Q7" s="8" t="s">
        <v>25</v>
      </c>
    </row>
    <row r="8" spans="1:17" s="4" customFormat="1" ht="44.4" customHeight="1" thickBot="1" x14ac:dyDescent="0.35">
      <c r="A8" s="89">
        <f t="shared" si="0"/>
        <v>7</v>
      </c>
      <c r="B8" s="7" t="s">
        <v>55</v>
      </c>
      <c r="C8" s="7" t="s">
        <v>56</v>
      </c>
      <c r="D8" s="7" t="s">
        <v>57</v>
      </c>
      <c r="E8" s="7" t="s">
        <v>20</v>
      </c>
      <c r="F8" s="7" t="s">
        <v>115</v>
      </c>
      <c r="G8" s="7" t="s">
        <v>29</v>
      </c>
      <c r="H8" s="7" t="s">
        <v>30</v>
      </c>
      <c r="I8" s="102" t="s">
        <v>31</v>
      </c>
      <c r="J8" s="119">
        <v>7</v>
      </c>
      <c r="K8" s="106" t="s">
        <v>20</v>
      </c>
      <c r="L8" s="7">
        <v>0.5</v>
      </c>
      <c r="M8" s="7">
        <v>1</v>
      </c>
      <c r="N8" s="7" t="s">
        <v>159</v>
      </c>
      <c r="O8" s="7" t="s">
        <v>51</v>
      </c>
      <c r="P8" s="7" t="s">
        <v>39</v>
      </c>
      <c r="Q8" s="8" t="s">
        <v>25</v>
      </c>
    </row>
    <row r="9" spans="1:17" s="4" customFormat="1" ht="87" thickBot="1" x14ac:dyDescent="0.35">
      <c r="A9" s="91">
        <v>8</v>
      </c>
      <c r="B9" s="7" t="s">
        <v>117</v>
      </c>
      <c r="C9" s="7" t="s">
        <v>118</v>
      </c>
      <c r="D9" s="7" t="s">
        <v>119</v>
      </c>
      <c r="E9" s="7" t="s">
        <v>20</v>
      </c>
      <c r="F9" s="7" t="s">
        <v>115</v>
      </c>
      <c r="G9" s="7" t="s">
        <v>29</v>
      </c>
      <c r="H9" s="7" t="s">
        <v>30</v>
      </c>
      <c r="I9" s="102" t="s">
        <v>31</v>
      </c>
      <c r="J9" s="119">
        <v>8</v>
      </c>
      <c r="K9" s="106" t="s">
        <v>20</v>
      </c>
      <c r="L9" s="7">
        <v>0.9</v>
      </c>
      <c r="M9" s="7">
        <v>1.1000000000000001</v>
      </c>
      <c r="N9" s="7" t="s">
        <v>144</v>
      </c>
      <c r="O9" s="7" t="s">
        <v>33</v>
      </c>
      <c r="P9" s="7" t="s">
        <v>34</v>
      </c>
      <c r="Q9" s="8" t="s">
        <v>25</v>
      </c>
    </row>
    <row r="10" spans="1:17" s="4" customFormat="1" x14ac:dyDescent="0.3">
      <c r="A10" s="92">
        <v>9</v>
      </c>
      <c r="B10" s="33" t="s">
        <v>63</v>
      </c>
      <c r="C10" s="13" t="s">
        <v>64</v>
      </c>
      <c r="D10" s="13" t="s">
        <v>65</v>
      </c>
      <c r="E10" s="13" t="s">
        <v>20</v>
      </c>
      <c r="F10" s="59" t="s">
        <v>116</v>
      </c>
      <c r="G10" s="13" t="s">
        <v>66</v>
      </c>
      <c r="H10" s="13" t="s">
        <v>67</v>
      </c>
      <c r="I10" s="110" t="s">
        <v>22</v>
      </c>
      <c r="J10" s="107">
        <v>9</v>
      </c>
      <c r="K10" s="114" t="s">
        <v>20</v>
      </c>
      <c r="L10" s="120">
        <v>0.28999999999999998</v>
      </c>
      <c r="M10" s="120">
        <v>0.35</v>
      </c>
      <c r="N10" s="13" t="s">
        <v>68</v>
      </c>
      <c r="O10" s="13" t="s">
        <v>33</v>
      </c>
      <c r="P10" s="13" t="s">
        <v>69</v>
      </c>
      <c r="Q10" s="93" t="s">
        <v>70</v>
      </c>
    </row>
    <row r="11" spans="1:17" s="4" customFormat="1" ht="28.8" x14ac:dyDescent="0.3">
      <c r="A11" s="94">
        <f>+A10</f>
        <v>9</v>
      </c>
      <c r="B11" s="36" t="str">
        <f>+B10</f>
        <v>L_E_1</v>
      </c>
      <c r="C11" s="19" t="s">
        <v>64</v>
      </c>
      <c r="D11" s="19" t="s">
        <v>65</v>
      </c>
      <c r="E11" s="19" t="s">
        <v>20</v>
      </c>
      <c r="F11" s="60" t="s">
        <v>116</v>
      </c>
      <c r="G11" s="19" t="s">
        <v>66</v>
      </c>
      <c r="H11" s="19" t="s">
        <v>71</v>
      </c>
      <c r="I11" s="111" t="s">
        <v>22</v>
      </c>
      <c r="J11" s="108">
        <v>10</v>
      </c>
      <c r="K11" s="115" t="s">
        <v>20</v>
      </c>
      <c r="L11" s="121">
        <v>2030</v>
      </c>
      <c r="M11" s="121">
        <v>2040</v>
      </c>
      <c r="N11" s="19" t="s">
        <v>68</v>
      </c>
      <c r="O11" s="19" t="s">
        <v>33</v>
      </c>
      <c r="P11" s="19" t="s">
        <v>69</v>
      </c>
      <c r="Q11" s="95" t="s">
        <v>70</v>
      </c>
    </row>
    <row r="12" spans="1:17" s="4" customFormat="1" ht="29.4" thickBot="1" x14ac:dyDescent="0.35">
      <c r="A12" s="96">
        <f>+A11</f>
        <v>9</v>
      </c>
      <c r="B12" s="39" t="str">
        <f>+B11</f>
        <v>L_E_1</v>
      </c>
      <c r="C12" s="19" t="s">
        <v>64</v>
      </c>
      <c r="D12" s="19" t="s">
        <v>65</v>
      </c>
      <c r="E12" s="19" t="s">
        <v>20</v>
      </c>
      <c r="F12" s="60" t="s">
        <v>116</v>
      </c>
      <c r="G12" s="19" t="s">
        <v>66</v>
      </c>
      <c r="H12" s="19" t="s">
        <v>72</v>
      </c>
      <c r="I12" s="111" t="s">
        <v>22</v>
      </c>
      <c r="J12" s="108">
        <v>11</v>
      </c>
      <c r="K12" s="116">
        <f>+J11</f>
        <v>10</v>
      </c>
      <c r="L12" s="121">
        <v>0.05</v>
      </c>
      <c r="M12" s="121">
        <v>0.15</v>
      </c>
      <c r="N12" s="19" t="s">
        <v>68</v>
      </c>
      <c r="O12" s="19" t="s">
        <v>33</v>
      </c>
      <c r="P12" s="19" t="s">
        <v>69</v>
      </c>
      <c r="Q12" s="95" t="s">
        <v>70</v>
      </c>
    </row>
    <row r="13" spans="1:17" s="4" customFormat="1" x14ac:dyDescent="0.3">
      <c r="A13" s="92">
        <f>+A10+1</f>
        <v>10</v>
      </c>
      <c r="B13" s="33" t="s">
        <v>73</v>
      </c>
      <c r="C13" s="13" t="s">
        <v>64</v>
      </c>
      <c r="D13" s="13" t="s">
        <v>74</v>
      </c>
      <c r="E13" s="13" t="s">
        <v>20</v>
      </c>
      <c r="F13" s="59" t="s">
        <v>116</v>
      </c>
      <c r="G13" s="13" t="s">
        <v>66</v>
      </c>
      <c r="H13" s="13" t="s">
        <v>67</v>
      </c>
      <c r="I13" s="110" t="s">
        <v>22</v>
      </c>
      <c r="J13" s="107">
        <v>12</v>
      </c>
      <c r="K13" s="114" t="s">
        <v>20</v>
      </c>
      <c r="L13" s="120">
        <v>0.04</v>
      </c>
      <c r="M13" s="120">
        <v>0.06</v>
      </c>
      <c r="N13" s="13" t="s">
        <v>75</v>
      </c>
      <c r="O13" s="13" t="s">
        <v>33</v>
      </c>
      <c r="P13" s="13" t="s">
        <v>76</v>
      </c>
      <c r="Q13" s="93" t="s">
        <v>70</v>
      </c>
    </row>
    <row r="14" spans="1:17" s="4" customFormat="1" ht="28.8" x14ac:dyDescent="0.3">
      <c r="A14" s="94">
        <f>+A13</f>
        <v>10</v>
      </c>
      <c r="B14" s="36" t="str">
        <f>+B13</f>
        <v>L_E_2</v>
      </c>
      <c r="C14" s="19" t="s">
        <v>64</v>
      </c>
      <c r="D14" s="19" t="s">
        <v>74</v>
      </c>
      <c r="E14" s="19" t="s">
        <v>20</v>
      </c>
      <c r="F14" s="60" t="s">
        <v>116</v>
      </c>
      <c r="G14" s="19" t="s">
        <v>66</v>
      </c>
      <c r="H14" s="19" t="s">
        <v>71</v>
      </c>
      <c r="I14" s="111" t="s">
        <v>22</v>
      </c>
      <c r="J14" s="108">
        <v>13</v>
      </c>
      <c r="K14" s="115" t="s">
        <v>20</v>
      </c>
      <c r="L14" s="121">
        <v>2035</v>
      </c>
      <c r="M14" s="121">
        <v>2040</v>
      </c>
      <c r="N14" s="19" t="s">
        <v>75</v>
      </c>
      <c r="O14" s="19" t="s">
        <v>33</v>
      </c>
      <c r="P14" s="19" t="s">
        <v>76</v>
      </c>
      <c r="Q14" s="95" t="s">
        <v>70</v>
      </c>
    </row>
    <row r="15" spans="1:17" s="4" customFormat="1" ht="29.4" thickBot="1" x14ac:dyDescent="0.35">
      <c r="A15" s="96">
        <f>+A14</f>
        <v>10</v>
      </c>
      <c r="B15" s="39" t="str">
        <f>+B14</f>
        <v>L_E_2</v>
      </c>
      <c r="C15" s="26" t="s">
        <v>64</v>
      </c>
      <c r="D15" s="26" t="s">
        <v>74</v>
      </c>
      <c r="E15" s="26" t="s">
        <v>20</v>
      </c>
      <c r="F15" s="61" t="s">
        <v>116</v>
      </c>
      <c r="G15" s="26" t="s">
        <v>66</v>
      </c>
      <c r="H15" s="26" t="s">
        <v>72</v>
      </c>
      <c r="I15" s="112" t="s">
        <v>22</v>
      </c>
      <c r="J15" s="108">
        <v>14</v>
      </c>
      <c r="K15" s="117">
        <f>+J14</f>
        <v>13</v>
      </c>
      <c r="L15" s="122">
        <v>1.4999999999999999E-2</v>
      </c>
      <c r="M15" s="122">
        <v>3.5000000000000003E-2</v>
      </c>
      <c r="N15" s="26" t="s">
        <v>75</v>
      </c>
      <c r="O15" s="26" t="s">
        <v>33</v>
      </c>
      <c r="P15" s="26" t="s">
        <v>76</v>
      </c>
      <c r="Q15" s="30" t="s">
        <v>70</v>
      </c>
    </row>
    <row r="16" spans="1:17" s="4" customFormat="1" ht="136.5" customHeight="1" thickBot="1" x14ac:dyDescent="0.35">
      <c r="A16" s="97">
        <f>A15+1</f>
        <v>11</v>
      </c>
      <c r="B16" s="98" t="s">
        <v>23</v>
      </c>
      <c r="C16" s="7" t="s">
        <v>84</v>
      </c>
      <c r="D16" s="7" t="s">
        <v>85</v>
      </c>
      <c r="E16" s="7" t="s">
        <v>20</v>
      </c>
      <c r="F16" s="7" t="s">
        <v>115</v>
      </c>
      <c r="G16" s="7" t="s">
        <v>29</v>
      </c>
      <c r="H16" s="7" t="s">
        <v>30</v>
      </c>
      <c r="I16" s="102" t="s">
        <v>31</v>
      </c>
      <c r="J16" s="107">
        <v>15</v>
      </c>
      <c r="K16" s="106" t="s">
        <v>20</v>
      </c>
      <c r="L16" s="7">
        <v>0.99990000000000001</v>
      </c>
      <c r="M16" s="7">
        <v>1.0001</v>
      </c>
      <c r="N16" s="7" t="s">
        <v>150</v>
      </c>
      <c r="O16" s="7" t="s">
        <v>80</v>
      </c>
      <c r="P16" s="7"/>
      <c r="Q16" s="8"/>
    </row>
    <row r="17" spans="1:17" s="4" customFormat="1" ht="28.8" x14ac:dyDescent="0.3">
      <c r="A17" s="92">
        <f>+A16+1</f>
        <v>12</v>
      </c>
      <c r="B17" s="33" t="s">
        <v>77</v>
      </c>
      <c r="C17" s="33" t="s">
        <v>151</v>
      </c>
      <c r="D17" s="33" t="s">
        <v>152</v>
      </c>
      <c r="E17" s="33" t="s">
        <v>20</v>
      </c>
      <c r="F17" s="123" t="s">
        <v>116</v>
      </c>
      <c r="G17" s="33" t="s">
        <v>66</v>
      </c>
      <c r="H17" s="33" t="s">
        <v>67</v>
      </c>
      <c r="I17" s="103" t="s">
        <v>22</v>
      </c>
      <c r="J17" s="107">
        <v>16</v>
      </c>
      <c r="K17" s="99" t="s">
        <v>20</v>
      </c>
      <c r="L17" s="123">
        <v>0.54</v>
      </c>
      <c r="M17" s="123">
        <v>0.8</v>
      </c>
      <c r="N17" s="33" t="s">
        <v>153</v>
      </c>
      <c r="O17" s="70" t="s">
        <v>155</v>
      </c>
      <c r="P17" s="33" t="s">
        <v>86</v>
      </c>
      <c r="Q17" s="35" t="s">
        <v>25</v>
      </c>
    </row>
    <row r="18" spans="1:17" s="4" customFormat="1" ht="28.8" x14ac:dyDescent="0.3">
      <c r="A18" s="94">
        <f>+A17</f>
        <v>12</v>
      </c>
      <c r="B18" s="36" t="s">
        <v>77</v>
      </c>
      <c r="C18" s="36" t="s">
        <v>151</v>
      </c>
      <c r="D18" s="36" t="s">
        <v>152</v>
      </c>
      <c r="E18" s="36" t="s">
        <v>20</v>
      </c>
      <c r="F18" s="124" t="s">
        <v>116</v>
      </c>
      <c r="G18" s="36" t="s">
        <v>66</v>
      </c>
      <c r="H18" s="36" t="s">
        <v>71</v>
      </c>
      <c r="I18" s="104" t="s">
        <v>22</v>
      </c>
      <c r="J18" s="108">
        <v>17</v>
      </c>
      <c r="K18" s="56" t="s">
        <v>20</v>
      </c>
      <c r="L18" s="124">
        <v>2028</v>
      </c>
      <c r="M18" s="124">
        <v>2032</v>
      </c>
      <c r="N18" s="36" t="s">
        <v>153</v>
      </c>
      <c r="O18" s="71" t="s">
        <v>155</v>
      </c>
      <c r="P18" s="36" t="s">
        <v>86</v>
      </c>
      <c r="Q18" s="38" t="s">
        <v>25</v>
      </c>
    </row>
    <row r="19" spans="1:17" s="4" customFormat="1" ht="29.4" thickBot="1" x14ac:dyDescent="0.35">
      <c r="A19" s="96">
        <f>+A18</f>
        <v>12</v>
      </c>
      <c r="B19" s="39" t="s">
        <v>77</v>
      </c>
      <c r="C19" s="39" t="s">
        <v>151</v>
      </c>
      <c r="D19" s="39" t="s">
        <v>152</v>
      </c>
      <c r="E19" s="39" t="s">
        <v>20</v>
      </c>
      <c r="F19" s="125" t="s">
        <v>116</v>
      </c>
      <c r="G19" s="39" t="s">
        <v>66</v>
      </c>
      <c r="H19" s="39" t="s">
        <v>72</v>
      </c>
      <c r="I19" s="105" t="s">
        <v>22</v>
      </c>
      <c r="J19" s="108">
        <v>18</v>
      </c>
      <c r="K19" s="100">
        <f>+J18</f>
        <v>17</v>
      </c>
      <c r="L19" s="125">
        <v>0.14000000000000001</v>
      </c>
      <c r="M19" s="125">
        <v>0.18</v>
      </c>
      <c r="N19" s="39" t="s">
        <v>153</v>
      </c>
      <c r="O19" s="72" t="s">
        <v>155</v>
      </c>
      <c r="P19" s="39" t="s">
        <v>86</v>
      </c>
      <c r="Q19" s="41" t="s">
        <v>25</v>
      </c>
    </row>
    <row r="20" spans="1:17" s="4" customFormat="1" ht="28.8" x14ac:dyDescent="0.3">
      <c r="A20" s="92">
        <f>+A19+1</f>
        <v>13</v>
      </c>
      <c r="B20" s="33" t="s">
        <v>81</v>
      </c>
      <c r="C20" s="33" t="s">
        <v>92</v>
      </c>
      <c r="D20" s="33" t="s">
        <v>93</v>
      </c>
      <c r="E20" s="33" t="s">
        <v>20</v>
      </c>
      <c r="F20" s="123" t="s">
        <v>116</v>
      </c>
      <c r="G20" s="33" t="s">
        <v>66</v>
      </c>
      <c r="H20" s="33" t="s">
        <v>67</v>
      </c>
      <c r="I20" s="103" t="s">
        <v>22</v>
      </c>
      <c r="J20" s="107">
        <v>19</v>
      </c>
      <c r="K20" s="99" t="s">
        <v>20</v>
      </c>
      <c r="L20" s="123">
        <v>0.54</v>
      </c>
      <c r="M20" s="123">
        <v>0.8</v>
      </c>
      <c r="N20" s="33" t="s">
        <v>157</v>
      </c>
      <c r="O20" s="33" t="s">
        <v>155</v>
      </c>
      <c r="P20" s="33" t="s">
        <v>86</v>
      </c>
      <c r="Q20" s="35" t="s">
        <v>25</v>
      </c>
    </row>
    <row r="21" spans="1:17" s="4" customFormat="1" ht="28.8" x14ac:dyDescent="0.3">
      <c r="A21" s="94">
        <f>+A20</f>
        <v>13</v>
      </c>
      <c r="B21" s="36" t="s">
        <v>81</v>
      </c>
      <c r="C21" s="36" t="s">
        <v>92</v>
      </c>
      <c r="D21" s="36" t="s">
        <v>93</v>
      </c>
      <c r="E21" s="36" t="s">
        <v>20</v>
      </c>
      <c r="F21" s="124" t="s">
        <v>116</v>
      </c>
      <c r="G21" s="36" t="s">
        <v>66</v>
      </c>
      <c r="H21" s="36" t="s">
        <v>71</v>
      </c>
      <c r="I21" s="104" t="s">
        <v>22</v>
      </c>
      <c r="J21" s="108">
        <v>20</v>
      </c>
      <c r="K21" s="56" t="s">
        <v>20</v>
      </c>
      <c r="L21" s="124">
        <v>2028</v>
      </c>
      <c r="M21" s="124">
        <v>2032</v>
      </c>
      <c r="N21" s="36" t="s">
        <v>157</v>
      </c>
      <c r="O21" s="36" t="s">
        <v>155</v>
      </c>
      <c r="P21" s="36" t="s">
        <v>86</v>
      </c>
      <c r="Q21" s="38" t="s">
        <v>25</v>
      </c>
    </row>
    <row r="22" spans="1:17" s="4" customFormat="1" ht="29.4" thickBot="1" x14ac:dyDescent="0.35">
      <c r="A22" s="96">
        <f>+A21</f>
        <v>13</v>
      </c>
      <c r="B22" s="39" t="s">
        <v>81</v>
      </c>
      <c r="C22" s="39" t="s">
        <v>92</v>
      </c>
      <c r="D22" s="39" t="s">
        <v>93</v>
      </c>
      <c r="E22" s="39" t="s">
        <v>20</v>
      </c>
      <c r="F22" s="125" t="s">
        <v>116</v>
      </c>
      <c r="G22" s="39" t="s">
        <v>66</v>
      </c>
      <c r="H22" s="39" t="s">
        <v>72</v>
      </c>
      <c r="I22" s="105" t="s">
        <v>22</v>
      </c>
      <c r="J22" s="108">
        <v>21</v>
      </c>
      <c r="K22" s="100">
        <f>+J21</f>
        <v>20</v>
      </c>
      <c r="L22" s="125">
        <v>0.1</v>
      </c>
      <c r="M22" s="125">
        <v>0.14000000000000001</v>
      </c>
      <c r="N22" s="39" t="s">
        <v>157</v>
      </c>
      <c r="O22" s="39" t="s">
        <v>155</v>
      </c>
      <c r="P22" s="39" t="s">
        <v>86</v>
      </c>
      <c r="Q22" s="41" t="s">
        <v>25</v>
      </c>
    </row>
    <row r="23" spans="1:17" s="4" customFormat="1" ht="29.4" thickBot="1" x14ac:dyDescent="0.35">
      <c r="A23" s="92">
        <f>A22+1</f>
        <v>14</v>
      </c>
      <c r="B23" s="33" t="s">
        <v>160</v>
      </c>
      <c r="C23" s="33" t="s">
        <v>96</v>
      </c>
      <c r="D23" s="33" t="s">
        <v>93</v>
      </c>
      <c r="E23" s="33" t="s">
        <v>20</v>
      </c>
      <c r="F23" s="123" t="s">
        <v>116</v>
      </c>
      <c r="G23" s="33" t="s">
        <v>66</v>
      </c>
      <c r="H23" s="33" t="s">
        <v>67</v>
      </c>
      <c r="I23" s="103" t="s">
        <v>22</v>
      </c>
      <c r="J23" s="107">
        <v>22</v>
      </c>
      <c r="K23" s="99" t="s">
        <v>20</v>
      </c>
      <c r="L23" s="123">
        <v>0.54</v>
      </c>
      <c r="M23" s="123">
        <v>0.8</v>
      </c>
      <c r="N23" s="33" t="s">
        <v>148</v>
      </c>
      <c r="O23" s="73" t="s">
        <v>155</v>
      </c>
      <c r="P23" s="33" t="s">
        <v>86</v>
      </c>
      <c r="Q23" s="35" t="s">
        <v>25</v>
      </c>
    </row>
    <row r="24" spans="1:17" s="4" customFormat="1" ht="29.4" thickBot="1" x14ac:dyDescent="0.35">
      <c r="A24" s="94">
        <f>+A23</f>
        <v>14</v>
      </c>
      <c r="B24" s="36" t="s">
        <v>160</v>
      </c>
      <c r="C24" s="36" t="s">
        <v>96</v>
      </c>
      <c r="D24" s="36" t="s">
        <v>93</v>
      </c>
      <c r="E24" s="36" t="s">
        <v>20</v>
      </c>
      <c r="F24" s="124" t="s">
        <v>116</v>
      </c>
      <c r="G24" s="36" t="s">
        <v>66</v>
      </c>
      <c r="H24" s="36" t="s">
        <v>71</v>
      </c>
      <c r="I24" s="104" t="s">
        <v>22</v>
      </c>
      <c r="J24" s="108">
        <v>23</v>
      </c>
      <c r="K24" s="56" t="s">
        <v>20</v>
      </c>
      <c r="L24" s="124">
        <v>2028</v>
      </c>
      <c r="M24" s="124">
        <v>2032</v>
      </c>
      <c r="N24" s="36" t="s">
        <v>148</v>
      </c>
      <c r="O24" s="73" t="s">
        <v>155</v>
      </c>
      <c r="P24" s="36" t="s">
        <v>86</v>
      </c>
      <c r="Q24" s="38" t="s">
        <v>25</v>
      </c>
    </row>
    <row r="25" spans="1:17" s="4" customFormat="1" ht="29.4" thickBot="1" x14ac:dyDescent="0.35">
      <c r="A25" s="96">
        <f>+A24</f>
        <v>14</v>
      </c>
      <c r="B25" s="65" t="s">
        <v>160</v>
      </c>
      <c r="C25" s="39" t="s">
        <v>96</v>
      </c>
      <c r="D25" s="39" t="s">
        <v>93</v>
      </c>
      <c r="E25" s="39" t="s">
        <v>20</v>
      </c>
      <c r="F25" s="125" t="s">
        <v>116</v>
      </c>
      <c r="G25" s="39" t="s">
        <v>66</v>
      </c>
      <c r="H25" s="39" t="s">
        <v>72</v>
      </c>
      <c r="I25" s="105" t="s">
        <v>22</v>
      </c>
      <c r="J25" s="108">
        <v>24</v>
      </c>
      <c r="K25" s="100">
        <f>+J24</f>
        <v>23</v>
      </c>
      <c r="L25" s="125">
        <v>0.1</v>
      </c>
      <c r="M25" s="125">
        <v>0.14000000000000001</v>
      </c>
      <c r="N25" s="39" t="s">
        <v>149</v>
      </c>
      <c r="O25" s="73" t="s">
        <v>155</v>
      </c>
      <c r="P25" s="39" t="s">
        <v>86</v>
      </c>
      <c r="Q25" s="41" t="s">
        <v>25</v>
      </c>
    </row>
    <row r="26" spans="1:17" s="4" customFormat="1" ht="29.4" thickBot="1" x14ac:dyDescent="0.35">
      <c r="A26" s="131">
        <f>A25+1</f>
        <v>15</v>
      </c>
      <c r="B26" s="137" t="s">
        <v>87</v>
      </c>
      <c r="C26" s="134" t="s">
        <v>154</v>
      </c>
      <c r="D26" s="33" t="s">
        <v>152</v>
      </c>
      <c r="E26" s="33" t="s">
        <v>20</v>
      </c>
      <c r="F26" s="123" t="s">
        <v>116</v>
      </c>
      <c r="G26" s="33" t="s">
        <v>66</v>
      </c>
      <c r="H26" s="33" t="s">
        <v>67</v>
      </c>
      <c r="I26" s="103" t="s">
        <v>22</v>
      </c>
      <c r="J26" s="107">
        <v>25</v>
      </c>
      <c r="K26" s="99" t="s">
        <v>20</v>
      </c>
      <c r="L26" s="123">
        <v>0.54</v>
      </c>
      <c r="M26" s="123">
        <v>0.8</v>
      </c>
      <c r="N26" s="33" t="s">
        <v>156</v>
      </c>
      <c r="O26" s="73" t="s">
        <v>155</v>
      </c>
      <c r="P26" s="33" t="s">
        <v>86</v>
      </c>
      <c r="Q26" s="35" t="s">
        <v>25</v>
      </c>
    </row>
    <row r="27" spans="1:17" s="4" customFormat="1" ht="29.4" thickBot="1" x14ac:dyDescent="0.35">
      <c r="A27" s="132">
        <f>+A26</f>
        <v>15</v>
      </c>
      <c r="B27" s="138" t="s">
        <v>87</v>
      </c>
      <c r="C27" s="135" t="s">
        <v>154</v>
      </c>
      <c r="D27" s="36" t="s">
        <v>152</v>
      </c>
      <c r="E27" s="36" t="s">
        <v>20</v>
      </c>
      <c r="F27" s="124" t="s">
        <v>116</v>
      </c>
      <c r="G27" s="36" t="s">
        <v>66</v>
      </c>
      <c r="H27" s="36" t="s">
        <v>71</v>
      </c>
      <c r="I27" s="104" t="s">
        <v>22</v>
      </c>
      <c r="J27" s="108">
        <v>26</v>
      </c>
      <c r="K27" s="56" t="s">
        <v>20</v>
      </c>
      <c r="L27" s="124">
        <v>2028</v>
      </c>
      <c r="M27" s="124">
        <v>2032</v>
      </c>
      <c r="N27" s="36" t="s">
        <v>156</v>
      </c>
      <c r="O27" s="73" t="s">
        <v>155</v>
      </c>
      <c r="P27" s="36" t="s">
        <v>86</v>
      </c>
      <c r="Q27" s="38" t="s">
        <v>25</v>
      </c>
    </row>
    <row r="28" spans="1:17" s="4" customFormat="1" ht="29.4" thickBot="1" x14ac:dyDescent="0.35">
      <c r="A28" s="133">
        <f>+A27</f>
        <v>15</v>
      </c>
      <c r="B28" s="139" t="s">
        <v>87</v>
      </c>
      <c r="C28" s="136" t="s">
        <v>154</v>
      </c>
      <c r="D28" s="39" t="s">
        <v>152</v>
      </c>
      <c r="E28" s="39" t="s">
        <v>20</v>
      </c>
      <c r="F28" s="125" t="s">
        <v>116</v>
      </c>
      <c r="G28" s="39" t="s">
        <v>66</v>
      </c>
      <c r="H28" s="39" t="s">
        <v>72</v>
      </c>
      <c r="I28" s="105" t="s">
        <v>22</v>
      </c>
      <c r="J28" s="108">
        <v>27</v>
      </c>
      <c r="K28" s="100">
        <f>+J27</f>
        <v>26</v>
      </c>
      <c r="L28" s="125">
        <v>0.14000000000000001</v>
      </c>
      <c r="M28" s="125">
        <v>0.18</v>
      </c>
      <c r="N28" s="39" t="s">
        <v>156</v>
      </c>
      <c r="O28" s="73" t="s">
        <v>155</v>
      </c>
      <c r="P28" s="39" t="s">
        <v>86</v>
      </c>
      <c r="Q28" s="41" t="s">
        <v>25</v>
      </c>
    </row>
    <row r="29" spans="1:17" s="4" customFormat="1" ht="43.8" thickBot="1" x14ac:dyDescent="0.35">
      <c r="A29" s="130">
        <f>A28+1</f>
        <v>16</v>
      </c>
      <c r="B29" s="119" t="s">
        <v>91</v>
      </c>
      <c r="C29" s="106" t="s">
        <v>110</v>
      </c>
      <c r="D29" s="7" t="s">
        <v>111</v>
      </c>
      <c r="E29" s="7" t="s">
        <v>20</v>
      </c>
      <c r="F29" s="7" t="s">
        <v>115</v>
      </c>
      <c r="G29" s="7" t="s">
        <v>29</v>
      </c>
      <c r="H29" s="7" t="s">
        <v>30</v>
      </c>
      <c r="I29" s="102" t="s">
        <v>31</v>
      </c>
      <c r="J29" s="129">
        <v>28</v>
      </c>
      <c r="K29" s="106" t="s">
        <v>20</v>
      </c>
      <c r="L29" s="7">
        <v>0.99</v>
      </c>
      <c r="M29" s="7">
        <v>1.01</v>
      </c>
      <c r="N29" s="7" t="s">
        <v>150</v>
      </c>
      <c r="O29" s="7" t="s">
        <v>112</v>
      </c>
      <c r="P29" s="7" t="s">
        <v>113</v>
      </c>
      <c r="Q29" s="8" t="s">
        <v>25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Q52"/>
  <sheetViews>
    <sheetView zoomScale="78" zoomScaleNormal="85" workbookViewId="0">
      <selection activeCell="A47" sqref="A47:XFD52"/>
    </sheetView>
  </sheetViews>
  <sheetFormatPr defaultColWidth="7.21875" defaultRowHeight="14.4" x14ac:dyDescent="0.3"/>
  <cols>
    <col min="1" max="1" width="7.44140625" bestFit="1" customWidth="1"/>
    <col min="2" max="2" width="8.77734375" bestFit="1" customWidth="1"/>
    <col min="3" max="3" width="36.44140625" bestFit="1" customWidth="1"/>
    <col min="4" max="4" width="51.44140625" bestFit="1" customWidth="1"/>
    <col min="5" max="5" width="31.77734375" hidden="1" customWidth="1"/>
    <col min="6" max="6" width="17.77734375" hidden="1" customWidth="1"/>
    <col min="7" max="7" width="20.21875" hidden="1" customWidth="1"/>
    <col min="8" max="8" width="34.44140625" hidden="1" customWidth="1"/>
    <col min="9" max="9" width="39.77734375" hidden="1" customWidth="1"/>
    <col min="10" max="10" width="26.44140625" hidden="1" customWidth="1"/>
    <col min="11" max="11" width="42.44140625" hidden="1" customWidth="1"/>
    <col min="12" max="12" width="10.21875" hidden="1" customWidth="1"/>
    <col min="13" max="13" width="10.44140625" hidden="1" customWidth="1"/>
    <col min="14" max="14" width="61.21875" bestFit="1" customWidth="1"/>
    <col min="15" max="15" width="38.77734375" bestFit="1" customWidth="1"/>
    <col min="16" max="16" width="67.77734375" bestFit="1" customWidth="1"/>
    <col min="17" max="17" width="12.77734375" bestFit="1" customWidth="1"/>
  </cols>
  <sheetData>
    <row r="1" spans="1:17" s="4" customFormat="1" ht="15" thickBot="1" x14ac:dyDescent="0.35">
      <c r="A1" s="42" t="s">
        <v>0</v>
      </c>
      <c r="B1" s="43" t="s">
        <v>1</v>
      </c>
      <c r="C1" s="1" t="s">
        <v>2</v>
      </c>
      <c r="D1" s="2" t="s">
        <v>3</v>
      </c>
      <c r="E1" s="44" t="s">
        <v>4</v>
      </c>
      <c r="F1" s="45" t="s">
        <v>5</v>
      </c>
      <c r="G1" s="46" t="s">
        <v>6</v>
      </c>
      <c r="H1" s="47" t="s">
        <v>7</v>
      </c>
      <c r="I1" s="48" t="s">
        <v>8</v>
      </c>
      <c r="J1" s="45" t="s">
        <v>9</v>
      </c>
      <c r="K1" s="44" t="s">
        <v>10</v>
      </c>
      <c r="L1" s="49" t="s">
        <v>11</v>
      </c>
      <c r="M1" s="50" t="s">
        <v>12</v>
      </c>
      <c r="N1" s="51" t="s">
        <v>13</v>
      </c>
      <c r="O1" s="52" t="s">
        <v>14</v>
      </c>
      <c r="P1" s="3" t="s">
        <v>15</v>
      </c>
      <c r="Q1" s="53" t="s">
        <v>16</v>
      </c>
    </row>
    <row r="2" spans="1:17" ht="15" thickBot="1" x14ac:dyDescent="0.35">
      <c r="A2" s="5">
        <v>1</v>
      </c>
      <c r="B2" s="6" t="s">
        <v>17</v>
      </c>
      <c r="C2" s="7" t="s">
        <v>18</v>
      </c>
      <c r="D2" s="7" t="s">
        <v>19</v>
      </c>
      <c r="E2" s="7" t="s">
        <v>20</v>
      </c>
      <c r="F2" s="7" t="s">
        <v>115</v>
      </c>
      <c r="G2" s="7" t="s">
        <v>21</v>
      </c>
      <c r="H2" s="7" t="s">
        <v>21</v>
      </c>
      <c r="I2" s="7" t="s">
        <v>22</v>
      </c>
      <c r="J2" s="7">
        <v>1</v>
      </c>
      <c r="K2" s="7" t="s">
        <v>20</v>
      </c>
      <c r="L2" s="7">
        <v>2</v>
      </c>
      <c r="M2" s="7">
        <v>4.5</v>
      </c>
      <c r="N2" s="7" t="s">
        <v>23</v>
      </c>
      <c r="O2" s="7" t="s">
        <v>23</v>
      </c>
      <c r="P2" s="7" t="s">
        <v>24</v>
      </c>
      <c r="Q2" s="8" t="s">
        <v>25</v>
      </c>
    </row>
    <row r="3" spans="1:17" s="4" customFormat="1" ht="87" thickBot="1" x14ac:dyDescent="0.35">
      <c r="A3" s="9">
        <f>+A2+1</f>
        <v>2</v>
      </c>
      <c r="B3" s="6" t="s">
        <v>26</v>
      </c>
      <c r="C3" s="7" t="s">
        <v>27</v>
      </c>
      <c r="D3" s="7" t="s">
        <v>28</v>
      </c>
      <c r="E3" s="7" t="s">
        <v>20</v>
      </c>
      <c r="F3" s="7" t="s">
        <v>115</v>
      </c>
      <c r="G3" s="7" t="s">
        <v>29</v>
      </c>
      <c r="H3" s="7" t="s">
        <v>30</v>
      </c>
      <c r="I3" s="7" t="s">
        <v>31</v>
      </c>
      <c r="J3" s="7">
        <v>2</v>
      </c>
      <c r="K3" s="7" t="s">
        <v>20</v>
      </c>
      <c r="L3" s="7">
        <v>0.9</v>
      </c>
      <c r="M3" s="7">
        <v>1.1000000000000001</v>
      </c>
      <c r="N3" s="7" t="s">
        <v>32</v>
      </c>
      <c r="O3" s="7" t="s">
        <v>33</v>
      </c>
      <c r="P3" s="7" t="s">
        <v>34</v>
      </c>
      <c r="Q3" s="8" t="s">
        <v>25</v>
      </c>
    </row>
    <row r="4" spans="1:17" s="4" customFormat="1" ht="29.4" thickBot="1" x14ac:dyDescent="0.35">
      <c r="A4" s="9">
        <f t="shared" ref="A4:A20" si="0">+A3+1</f>
        <v>3</v>
      </c>
      <c r="B4" s="6" t="s">
        <v>35</v>
      </c>
      <c r="C4" s="64" t="s">
        <v>36</v>
      </c>
      <c r="D4" s="7" t="s">
        <v>37</v>
      </c>
      <c r="E4" s="7" t="s">
        <v>20</v>
      </c>
      <c r="F4" s="7" t="s">
        <v>115</v>
      </c>
      <c r="G4" s="7" t="s">
        <v>29</v>
      </c>
      <c r="H4" s="7" t="s">
        <v>30</v>
      </c>
      <c r="I4" s="7" t="s">
        <v>31</v>
      </c>
      <c r="J4" s="7">
        <v>3</v>
      </c>
      <c r="K4" s="7" t="s">
        <v>20</v>
      </c>
      <c r="L4" s="7">
        <v>0.9</v>
      </c>
      <c r="M4" s="7">
        <v>1.1000000000000001</v>
      </c>
      <c r="N4" s="7" t="s">
        <v>38</v>
      </c>
      <c r="O4" s="7" t="s">
        <v>33</v>
      </c>
      <c r="P4" s="7" t="s">
        <v>39</v>
      </c>
      <c r="Q4" s="8" t="s">
        <v>25</v>
      </c>
    </row>
    <row r="5" spans="1:17" s="4" customFormat="1" ht="29.4" thickBot="1" x14ac:dyDescent="0.35">
      <c r="A5" s="63">
        <f t="shared" si="0"/>
        <v>4</v>
      </c>
      <c r="B5" s="6" t="s">
        <v>40</v>
      </c>
      <c r="C5" s="7" t="s">
        <v>41</v>
      </c>
      <c r="D5" s="7" t="s">
        <v>42</v>
      </c>
      <c r="E5" s="7" t="s">
        <v>20</v>
      </c>
      <c r="F5" s="7" t="s">
        <v>115</v>
      </c>
      <c r="G5" s="7" t="s">
        <v>29</v>
      </c>
      <c r="H5" s="7" t="s">
        <v>30</v>
      </c>
      <c r="I5" s="7" t="s">
        <v>31</v>
      </c>
      <c r="J5" s="7">
        <v>4</v>
      </c>
      <c r="K5" s="7" t="s">
        <v>20</v>
      </c>
      <c r="L5" s="7">
        <v>0.5</v>
      </c>
      <c r="M5" s="7">
        <v>1.5</v>
      </c>
      <c r="N5" s="7" t="s">
        <v>122</v>
      </c>
      <c r="O5" s="7" t="s">
        <v>43</v>
      </c>
      <c r="P5" s="7" t="s">
        <v>39</v>
      </c>
      <c r="Q5" s="8" t="s">
        <v>25</v>
      </c>
    </row>
    <row r="6" spans="1:17" s="4" customFormat="1" ht="165.6" customHeight="1" thickBot="1" x14ac:dyDescent="0.35">
      <c r="A6" s="63">
        <f t="shared" si="0"/>
        <v>5</v>
      </c>
      <c r="B6" s="6" t="s">
        <v>44</v>
      </c>
      <c r="C6" s="7" t="s">
        <v>45</v>
      </c>
      <c r="D6" s="7" t="s">
        <v>46</v>
      </c>
      <c r="E6" s="7" t="s">
        <v>20</v>
      </c>
      <c r="F6" s="7" t="s">
        <v>115</v>
      </c>
      <c r="G6" s="7" t="s">
        <v>29</v>
      </c>
      <c r="H6" s="7" t="s">
        <v>30</v>
      </c>
      <c r="I6" s="7" t="s">
        <v>31</v>
      </c>
      <c r="J6" s="7">
        <v>5</v>
      </c>
      <c r="K6" s="7" t="s">
        <v>20</v>
      </c>
      <c r="L6" s="7">
        <v>0.5</v>
      </c>
      <c r="M6" s="7">
        <v>2</v>
      </c>
      <c r="N6" s="7" t="s">
        <v>140</v>
      </c>
      <c r="O6" s="7" t="s">
        <v>47</v>
      </c>
      <c r="P6" s="7" t="s">
        <v>39</v>
      </c>
      <c r="Q6" s="8" t="s">
        <v>25</v>
      </c>
    </row>
    <row r="7" spans="1:17" s="4" customFormat="1" ht="219.6" customHeight="1" thickBot="1" x14ac:dyDescent="0.35">
      <c r="A7" s="9">
        <f t="shared" si="0"/>
        <v>6</v>
      </c>
      <c r="B7" s="6" t="s">
        <v>48</v>
      </c>
      <c r="C7" s="7" t="s">
        <v>49</v>
      </c>
      <c r="D7" s="7" t="s">
        <v>50</v>
      </c>
      <c r="E7" s="7" t="s">
        <v>20</v>
      </c>
      <c r="F7" s="7" t="s">
        <v>115</v>
      </c>
      <c r="G7" s="7" t="s">
        <v>29</v>
      </c>
      <c r="H7" s="7" t="s">
        <v>30</v>
      </c>
      <c r="I7" s="7" t="s">
        <v>31</v>
      </c>
      <c r="J7" s="7">
        <v>6</v>
      </c>
      <c r="K7" s="7" t="s">
        <v>20</v>
      </c>
      <c r="L7" s="7">
        <v>0.75</v>
      </c>
      <c r="M7" s="7">
        <v>1.25</v>
      </c>
      <c r="N7" s="7" t="s">
        <v>120</v>
      </c>
      <c r="O7" s="7" t="s">
        <v>51</v>
      </c>
      <c r="P7" s="7" t="s">
        <v>39</v>
      </c>
      <c r="Q7" s="8" t="s">
        <v>25</v>
      </c>
    </row>
    <row r="8" spans="1:17" s="4" customFormat="1" ht="87" thickBot="1" x14ac:dyDescent="0.35">
      <c r="A8" s="9">
        <f t="shared" si="0"/>
        <v>7</v>
      </c>
      <c r="B8" s="6" t="s">
        <v>52</v>
      </c>
      <c r="C8" s="7" t="s">
        <v>53</v>
      </c>
      <c r="D8" s="7" t="s">
        <v>54</v>
      </c>
      <c r="E8" s="7" t="s">
        <v>20</v>
      </c>
      <c r="F8" s="7" t="s">
        <v>115</v>
      </c>
      <c r="G8" s="7" t="s">
        <v>29</v>
      </c>
      <c r="H8" s="7" t="s">
        <v>30</v>
      </c>
      <c r="I8" s="7" t="s">
        <v>31</v>
      </c>
      <c r="J8" s="7">
        <v>7</v>
      </c>
      <c r="K8" s="7" t="s">
        <v>20</v>
      </c>
      <c r="L8" s="54">
        <v>0.5</v>
      </c>
      <c r="M8" s="7">
        <v>1.5</v>
      </c>
      <c r="N8" s="7" t="s">
        <v>143</v>
      </c>
      <c r="O8" s="7" t="s">
        <v>51</v>
      </c>
      <c r="P8" s="7" t="s">
        <v>39</v>
      </c>
      <c r="Q8" s="8" t="s">
        <v>25</v>
      </c>
    </row>
    <row r="9" spans="1:17" s="4" customFormat="1" ht="29.4" thickBot="1" x14ac:dyDescent="0.35">
      <c r="A9" s="9">
        <f t="shared" si="0"/>
        <v>8</v>
      </c>
      <c r="B9" s="6" t="s">
        <v>55</v>
      </c>
      <c r="C9" s="7" t="s">
        <v>56</v>
      </c>
      <c r="D9" s="7" t="s">
        <v>57</v>
      </c>
      <c r="E9" s="7" t="s">
        <v>20</v>
      </c>
      <c r="F9" s="7" t="s">
        <v>115</v>
      </c>
      <c r="G9" s="7" t="s">
        <v>29</v>
      </c>
      <c r="H9" s="7" t="s">
        <v>30</v>
      </c>
      <c r="I9" s="7" t="s">
        <v>31</v>
      </c>
      <c r="J9" s="7">
        <v>8</v>
      </c>
      <c r="K9" s="7" t="s">
        <v>20</v>
      </c>
      <c r="L9" s="7">
        <v>0.5</v>
      </c>
      <c r="M9" s="7">
        <v>1</v>
      </c>
      <c r="N9" s="7" t="s">
        <v>142</v>
      </c>
      <c r="O9" s="7" t="s">
        <v>51</v>
      </c>
      <c r="P9" s="7" t="s">
        <v>39</v>
      </c>
      <c r="Q9" s="8" t="s">
        <v>25</v>
      </c>
    </row>
    <row r="10" spans="1:17" s="4" customFormat="1" ht="29.4" thickBot="1" x14ac:dyDescent="0.35">
      <c r="A10" s="9">
        <f t="shared" si="0"/>
        <v>9</v>
      </c>
      <c r="B10" s="6" t="s">
        <v>58</v>
      </c>
      <c r="C10" s="7" t="s">
        <v>59</v>
      </c>
      <c r="D10" s="7" t="s">
        <v>60</v>
      </c>
      <c r="E10" s="7" t="s">
        <v>20</v>
      </c>
      <c r="F10" s="7" t="s">
        <v>115</v>
      </c>
      <c r="G10" s="7" t="s">
        <v>29</v>
      </c>
      <c r="H10" s="7" t="s">
        <v>30</v>
      </c>
      <c r="I10" s="7" t="s">
        <v>31</v>
      </c>
      <c r="J10" s="7">
        <v>9</v>
      </c>
      <c r="K10" s="7" t="s">
        <v>20</v>
      </c>
      <c r="L10" s="7">
        <v>0.7</v>
      </c>
      <c r="M10" s="7">
        <v>1</v>
      </c>
      <c r="N10" s="58" t="s">
        <v>61</v>
      </c>
      <c r="O10" s="7" t="s">
        <v>62</v>
      </c>
      <c r="P10" s="7" t="s">
        <v>39</v>
      </c>
      <c r="Q10" s="8" t="s">
        <v>25</v>
      </c>
    </row>
    <row r="11" spans="1:17" s="4" customFormat="1" ht="87" thickBot="1" x14ac:dyDescent="0.35">
      <c r="A11" s="62">
        <v>10</v>
      </c>
      <c r="B11" s="6" t="s">
        <v>117</v>
      </c>
      <c r="C11" s="7" t="s">
        <v>118</v>
      </c>
      <c r="D11" s="7" t="s">
        <v>119</v>
      </c>
      <c r="E11" s="7" t="s">
        <v>20</v>
      </c>
      <c r="F11" s="7" t="s">
        <v>115</v>
      </c>
      <c r="G11" s="7" t="s">
        <v>29</v>
      </c>
      <c r="H11" s="7" t="s">
        <v>30</v>
      </c>
      <c r="I11" s="7" t="s">
        <v>31</v>
      </c>
      <c r="J11" s="7">
        <v>10</v>
      </c>
      <c r="K11" s="7" t="s">
        <v>20</v>
      </c>
      <c r="L11" s="7">
        <v>0.9</v>
      </c>
      <c r="M11" s="7">
        <v>1.1000000000000001</v>
      </c>
      <c r="N11" s="7" t="s">
        <v>144</v>
      </c>
      <c r="O11" s="7" t="s">
        <v>33</v>
      </c>
      <c r="P11" s="7" t="s">
        <v>34</v>
      </c>
      <c r="Q11" s="8" t="s">
        <v>25</v>
      </c>
    </row>
    <row r="12" spans="1:17" s="4" customFormat="1" x14ac:dyDescent="0.3">
      <c r="A12" s="10">
        <v>11</v>
      </c>
      <c r="B12" s="11" t="s">
        <v>63</v>
      </c>
      <c r="C12" s="12" t="s">
        <v>64</v>
      </c>
      <c r="D12" s="12" t="s">
        <v>65</v>
      </c>
      <c r="E12" s="12" t="s">
        <v>20</v>
      </c>
      <c r="F12" s="59" t="s">
        <v>116</v>
      </c>
      <c r="G12" s="12" t="s">
        <v>66</v>
      </c>
      <c r="H12" s="13" t="s">
        <v>67</v>
      </c>
      <c r="I12" s="12" t="s">
        <v>22</v>
      </c>
      <c r="J12" s="14">
        <v>11</v>
      </c>
      <c r="K12" s="12" t="s">
        <v>20</v>
      </c>
      <c r="L12" s="12">
        <v>0.1</v>
      </c>
      <c r="M12" s="12">
        <v>0.2</v>
      </c>
      <c r="N12" s="12" t="s">
        <v>68</v>
      </c>
      <c r="O12" s="12" t="s">
        <v>33</v>
      </c>
      <c r="P12" s="12" t="s">
        <v>69</v>
      </c>
      <c r="Q12" s="15" t="s">
        <v>70</v>
      </c>
    </row>
    <row r="13" spans="1:17" s="4" customFormat="1" ht="28.8" x14ac:dyDescent="0.3">
      <c r="A13" s="16">
        <f>+A12</f>
        <v>11</v>
      </c>
      <c r="B13" s="17" t="str">
        <f>+B12</f>
        <v>L_E_1</v>
      </c>
      <c r="C13" s="18" t="s">
        <v>64</v>
      </c>
      <c r="D13" s="18" t="s">
        <v>65</v>
      </c>
      <c r="E13" s="18" t="s">
        <v>20</v>
      </c>
      <c r="F13" s="60" t="s">
        <v>116</v>
      </c>
      <c r="G13" s="18" t="s">
        <v>66</v>
      </c>
      <c r="H13" s="19" t="s">
        <v>71</v>
      </c>
      <c r="I13" s="18" t="s">
        <v>22</v>
      </c>
      <c r="J13" s="20">
        <v>12</v>
      </c>
      <c r="K13" s="18" t="s">
        <v>20</v>
      </c>
      <c r="L13" s="18">
        <v>2034</v>
      </c>
      <c r="M13" s="18">
        <v>2036</v>
      </c>
      <c r="N13" s="18" t="s">
        <v>68</v>
      </c>
      <c r="O13" s="18" t="s">
        <v>33</v>
      </c>
      <c r="P13" s="18" t="s">
        <v>69</v>
      </c>
      <c r="Q13" s="21" t="s">
        <v>70</v>
      </c>
    </row>
    <row r="14" spans="1:17" s="4" customFormat="1" ht="15" thickBot="1" x14ac:dyDescent="0.35">
      <c r="A14" s="22">
        <f>+A13</f>
        <v>11</v>
      </c>
      <c r="B14" s="23" t="str">
        <f>+B13</f>
        <v>L_E_1</v>
      </c>
      <c r="C14" s="18" t="s">
        <v>64</v>
      </c>
      <c r="D14" s="18" t="s">
        <v>65</v>
      </c>
      <c r="E14" s="18" t="s">
        <v>20</v>
      </c>
      <c r="F14" s="60" t="s">
        <v>116</v>
      </c>
      <c r="G14" s="18" t="s">
        <v>66</v>
      </c>
      <c r="H14" s="19" t="s">
        <v>72</v>
      </c>
      <c r="I14" s="18" t="s">
        <v>22</v>
      </c>
      <c r="J14" s="20">
        <v>13</v>
      </c>
      <c r="K14" s="24">
        <f>+J13</f>
        <v>12</v>
      </c>
      <c r="L14" s="18">
        <v>0.05</v>
      </c>
      <c r="M14" s="18">
        <v>0.125</v>
      </c>
      <c r="N14" s="18" t="s">
        <v>68</v>
      </c>
      <c r="O14" s="18" t="s">
        <v>33</v>
      </c>
      <c r="P14" s="18" t="s">
        <v>69</v>
      </c>
      <c r="Q14" s="21" t="s">
        <v>70</v>
      </c>
    </row>
    <row r="15" spans="1:17" s="4" customFormat="1" x14ac:dyDescent="0.3">
      <c r="A15" s="10">
        <f>+A12+1</f>
        <v>12</v>
      </c>
      <c r="B15" s="11" t="s">
        <v>73</v>
      </c>
      <c r="C15" s="12" t="s">
        <v>64</v>
      </c>
      <c r="D15" s="12" t="s">
        <v>74</v>
      </c>
      <c r="E15" s="12" t="s">
        <v>20</v>
      </c>
      <c r="F15" s="59" t="s">
        <v>116</v>
      </c>
      <c r="G15" s="12" t="s">
        <v>66</v>
      </c>
      <c r="H15" s="13" t="s">
        <v>67</v>
      </c>
      <c r="I15" s="12" t="s">
        <v>22</v>
      </c>
      <c r="J15" s="14">
        <v>14</v>
      </c>
      <c r="K15" s="12" t="s">
        <v>20</v>
      </c>
      <c r="L15" s="12">
        <v>0</v>
      </c>
      <c r="M15" s="12">
        <v>0.125</v>
      </c>
      <c r="N15" s="12" t="s">
        <v>75</v>
      </c>
      <c r="O15" s="12" t="s">
        <v>33</v>
      </c>
      <c r="P15" s="12" t="s">
        <v>76</v>
      </c>
      <c r="Q15" s="15" t="s">
        <v>70</v>
      </c>
    </row>
    <row r="16" spans="1:17" s="4" customFormat="1" ht="28.8" x14ac:dyDescent="0.3">
      <c r="A16" s="16">
        <f>+A15</f>
        <v>12</v>
      </c>
      <c r="B16" s="17" t="str">
        <f>+B15</f>
        <v>L_E_2</v>
      </c>
      <c r="C16" s="18" t="s">
        <v>64</v>
      </c>
      <c r="D16" s="18" t="s">
        <v>74</v>
      </c>
      <c r="E16" s="18" t="s">
        <v>20</v>
      </c>
      <c r="F16" s="60" t="s">
        <v>116</v>
      </c>
      <c r="G16" s="18" t="s">
        <v>66</v>
      </c>
      <c r="H16" s="19" t="s">
        <v>71</v>
      </c>
      <c r="I16" s="18" t="s">
        <v>22</v>
      </c>
      <c r="J16" s="20">
        <v>15</v>
      </c>
      <c r="K16" s="18" t="s">
        <v>20</v>
      </c>
      <c r="L16" s="18">
        <v>2034</v>
      </c>
      <c r="M16" s="18">
        <v>2036</v>
      </c>
      <c r="N16" s="18" t="s">
        <v>75</v>
      </c>
      <c r="O16" s="18" t="s">
        <v>33</v>
      </c>
      <c r="P16" s="18" t="s">
        <v>76</v>
      </c>
      <c r="Q16" s="21" t="s">
        <v>70</v>
      </c>
    </row>
    <row r="17" spans="1:17" s="4" customFormat="1" ht="15" thickBot="1" x14ac:dyDescent="0.35">
      <c r="A17" s="22">
        <f>+A16</f>
        <v>12</v>
      </c>
      <c r="B17" s="23" t="str">
        <f>+B16</f>
        <v>L_E_2</v>
      </c>
      <c r="C17" s="25" t="s">
        <v>64</v>
      </c>
      <c r="D17" s="25" t="s">
        <v>74</v>
      </c>
      <c r="E17" s="25" t="s">
        <v>20</v>
      </c>
      <c r="F17" s="61" t="s">
        <v>116</v>
      </c>
      <c r="G17" s="25" t="s">
        <v>66</v>
      </c>
      <c r="H17" s="26" t="s">
        <v>72</v>
      </c>
      <c r="I17" s="25" t="s">
        <v>22</v>
      </c>
      <c r="J17" s="20">
        <v>16</v>
      </c>
      <c r="K17" s="27">
        <f>+J16</f>
        <v>15</v>
      </c>
      <c r="L17" s="25">
        <v>0</v>
      </c>
      <c r="M17" s="25">
        <v>0.05</v>
      </c>
      <c r="N17" s="25" t="s">
        <v>75</v>
      </c>
      <c r="O17" s="25" t="s">
        <v>33</v>
      </c>
      <c r="P17" s="25" t="s">
        <v>76</v>
      </c>
      <c r="Q17" s="28" t="s">
        <v>70</v>
      </c>
    </row>
    <row r="18" spans="1:17" s="4" customFormat="1" ht="29.4" thickBot="1" x14ac:dyDescent="0.35">
      <c r="A18" s="29">
        <f>+A15+1</f>
        <v>13</v>
      </c>
      <c r="B18" s="25" t="s">
        <v>77</v>
      </c>
      <c r="C18" s="26" t="s">
        <v>78</v>
      </c>
      <c r="D18" s="26" t="s">
        <v>79</v>
      </c>
      <c r="E18" s="26" t="s">
        <v>20</v>
      </c>
      <c r="F18" s="26" t="s">
        <v>116</v>
      </c>
      <c r="G18" s="26" t="s">
        <v>29</v>
      </c>
      <c r="H18" s="26" t="s">
        <v>30</v>
      </c>
      <c r="I18" s="26" t="s">
        <v>31</v>
      </c>
      <c r="J18" s="14">
        <v>17</v>
      </c>
      <c r="K18" s="26" t="s">
        <v>20</v>
      </c>
      <c r="L18" s="26">
        <v>1</v>
      </c>
      <c r="M18" s="26">
        <v>1.1000000000000001</v>
      </c>
      <c r="N18" s="26" t="s">
        <v>145</v>
      </c>
      <c r="O18" s="26" t="s">
        <v>80</v>
      </c>
      <c r="P18" s="26" t="s">
        <v>39</v>
      </c>
      <c r="Q18" s="30" t="s">
        <v>25</v>
      </c>
    </row>
    <row r="19" spans="1:17" s="4" customFormat="1" ht="29.4" thickBot="1" x14ac:dyDescent="0.35">
      <c r="A19" s="9">
        <f t="shared" si="0"/>
        <v>14</v>
      </c>
      <c r="B19" s="6" t="s">
        <v>81</v>
      </c>
      <c r="C19" s="7" t="s">
        <v>78</v>
      </c>
      <c r="D19" s="7" t="s">
        <v>82</v>
      </c>
      <c r="E19" s="7" t="s">
        <v>20</v>
      </c>
      <c r="F19" s="7" t="s">
        <v>116</v>
      </c>
      <c r="G19" s="7" t="s">
        <v>29</v>
      </c>
      <c r="H19" s="7" t="s">
        <v>30</v>
      </c>
      <c r="I19" s="7" t="s">
        <v>31</v>
      </c>
      <c r="J19" s="20">
        <v>18</v>
      </c>
      <c r="K19" s="7" t="s">
        <v>20</v>
      </c>
      <c r="L19" s="7">
        <v>1</v>
      </c>
      <c r="M19" s="7">
        <v>1.1000000000000001</v>
      </c>
      <c r="N19" s="7" t="s">
        <v>83</v>
      </c>
      <c r="O19" s="7" t="s">
        <v>80</v>
      </c>
      <c r="P19" s="7" t="s">
        <v>39</v>
      </c>
      <c r="Q19" s="8" t="s">
        <v>25</v>
      </c>
    </row>
    <row r="20" spans="1:17" s="4" customFormat="1" ht="136.5" customHeight="1" thickBot="1" x14ac:dyDescent="0.35">
      <c r="A20" s="31">
        <f t="shared" si="0"/>
        <v>15</v>
      </c>
      <c r="B20" s="32" t="s">
        <v>23</v>
      </c>
      <c r="C20" s="7" t="s">
        <v>84</v>
      </c>
      <c r="D20" s="7" t="s">
        <v>85</v>
      </c>
      <c r="E20" s="7" t="s">
        <v>20</v>
      </c>
      <c r="F20" s="7" t="s">
        <v>115</v>
      </c>
      <c r="G20" s="7" t="s">
        <v>29</v>
      </c>
      <c r="H20" s="7" t="s">
        <v>30</v>
      </c>
      <c r="I20" s="7" t="s">
        <v>31</v>
      </c>
      <c r="J20" s="20">
        <v>19</v>
      </c>
      <c r="K20" s="7" t="s">
        <v>20</v>
      </c>
      <c r="L20" s="7">
        <v>0.99990000000000001</v>
      </c>
      <c r="M20" s="7">
        <v>1.0001</v>
      </c>
      <c r="N20" s="7" t="s">
        <v>124</v>
      </c>
      <c r="O20" s="7" t="s">
        <v>80</v>
      </c>
      <c r="P20" s="7"/>
      <c r="Q20" s="8"/>
    </row>
    <row r="21" spans="1:17" s="4" customFormat="1" ht="28.8" x14ac:dyDescent="0.3">
      <c r="A21" s="10">
        <f>+A20+1</f>
        <v>16</v>
      </c>
      <c r="B21" s="11" t="s">
        <v>87</v>
      </c>
      <c r="C21" s="33" t="s">
        <v>88</v>
      </c>
      <c r="D21" s="33" t="s">
        <v>89</v>
      </c>
      <c r="E21" s="33" t="s">
        <v>20</v>
      </c>
      <c r="F21" s="33" t="s">
        <v>116</v>
      </c>
      <c r="G21" s="33" t="s">
        <v>66</v>
      </c>
      <c r="H21" s="33" t="s">
        <v>67</v>
      </c>
      <c r="I21" s="33" t="s">
        <v>22</v>
      </c>
      <c r="J21" s="14">
        <v>20</v>
      </c>
      <c r="K21" s="34" t="s">
        <v>20</v>
      </c>
      <c r="L21" s="33">
        <v>0.05</v>
      </c>
      <c r="M21" s="33">
        <v>0.1</v>
      </c>
      <c r="N21" s="33" t="s">
        <v>90</v>
      </c>
      <c r="O21" s="70" t="s">
        <v>114</v>
      </c>
      <c r="P21" s="33" t="s">
        <v>86</v>
      </c>
      <c r="Q21" s="35" t="s">
        <v>25</v>
      </c>
    </row>
    <row r="22" spans="1:17" s="4" customFormat="1" ht="28.8" x14ac:dyDescent="0.3">
      <c r="A22" s="16">
        <f>+A21</f>
        <v>16</v>
      </c>
      <c r="B22" s="17" t="s">
        <v>87</v>
      </c>
      <c r="C22" s="36" t="s">
        <v>88</v>
      </c>
      <c r="D22" s="36" t="s">
        <v>89</v>
      </c>
      <c r="E22" s="36" t="s">
        <v>20</v>
      </c>
      <c r="F22" s="36" t="s">
        <v>116</v>
      </c>
      <c r="G22" s="36" t="s">
        <v>66</v>
      </c>
      <c r="H22" s="36" t="s">
        <v>71</v>
      </c>
      <c r="I22" s="36" t="s">
        <v>22</v>
      </c>
      <c r="J22" s="20">
        <v>21</v>
      </c>
      <c r="K22" s="37" t="s">
        <v>20</v>
      </c>
      <c r="L22" s="36">
        <v>2044</v>
      </c>
      <c r="M22" s="36">
        <v>2046</v>
      </c>
      <c r="N22" s="36" t="s">
        <v>90</v>
      </c>
      <c r="O22" s="71" t="s">
        <v>114</v>
      </c>
      <c r="P22" s="36" t="s">
        <v>86</v>
      </c>
      <c r="Q22" s="38" t="s">
        <v>25</v>
      </c>
    </row>
    <row r="23" spans="1:17" s="4" customFormat="1" ht="29.4" thickBot="1" x14ac:dyDescent="0.35">
      <c r="A23" s="22">
        <f>+A22</f>
        <v>16</v>
      </c>
      <c r="B23" s="23" t="s">
        <v>87</v>
      </c>
      <c r="C23" s="39" t="s">
        <v>88</v>
      </c>
      <c r="D23" s="39" t="s">
        <v>89</v>
      </c>
      <c r="E23" s="39" t="s">
        <v>20</v>
      </c>
      <c r="F23" s="39" t="s">
        <v>116</v>
      </c>
      <c r="G23" s="39" t="s">
        <v>66</v>
      </c>
      <c r="H23" s="39" t="s">
        <v>72</v>
      </c>
      <c r="I23" s="39" t="s">
        <v>22</v>
      </c>
      <c r="J23" s="20">
        <v>22</v>
      </c>
      <c r="K23" s="40">
        <f>+J22</f>
        <v>21</v>
      </c>
      <c r="L23" s="39">
        <v>0</v>
      </c>
      <c r="M23" s="39">
        <v>0.05</v>
      </c>
      <c r="N23" s="39" t="s">
        <v>90</v>
      </c>
      <c r="O23" s="72" t="s">
        <v>114</v>
      </c>
      <c r="P23" s="39" t="s">
        <v>86</v>
      </c>
      <c r="Q23" s="41" t="s">
        <v>25</v>
      </c>
    </row>
    <row r="24" spans="1:17" s="4" customFormat="1" ht="28.8" x14ac:dyDescent="0.3">
      <c r="A24" s="10">
        <f>+A23+1</f>
        <v>17</v>
      </c>
      <c r="B24" s="11" t="s">
        <v>91</v>
      </c>
      <c r="C24" s="11" t="s">
        <v>92</v>
      </c>
      <c r="D24" s="33" t="s">
        <v>93</v>
      </c>
      <c r="E24" s="33" t="s">
        <v>20</v>
      </c>
      <c r="F24" s="33" t="s">
        <v>116</v>
      </c>
      <c r="G24" s="33" t="s">
        <v>66</v>
      </c>
      <c r="H24" s="33" t="s">
        <v>67</v>
      </c>
      <c r="I24" s="33" t="s">
        <v>22</v>
      </c>
      <c r="J24" s="14">
        <v>23</v>
      </c>
      <c r="K24" s="34" t="s">
        <v>20</v>
      </c>
      <c r="L24" s="33">
        <v>0.8</v>
      </c>
      <c r="M24" s="33">
        <v>0.9</v>
      </c>
      <c r="N24" s="33" t="s">
        <v>94</v>
      </c>
      <c r="O24" s="33" t="s">
        <v>114</v>
      </c>
      <c r="P24" s="33" t="s">
        <v>86</v>
      </c>
      <c r="Q24" s="35" t="s">
        <v>25</v>
      </c>
    </row>
    <row r="25" spans="1:17" s="4" customFormat="1" ht="28.8" x14ac:dyDescent="0.3">
      <c r="A25" s="16">
        <f>+A24</f>
        <v>17</v>
      </c>
      <c r="B25" s="17" t="s">
        <v>91</v>
      </c>
      <c r="C25" s="17" t="s">
        <v>92</v>
      </c>
      <c r="D25" s="36" t="s">
        <v>93</v>
      </c>
      <c r="E25" s="36" t="s">
        <v>20</v>
      </c>
      <c r="F25" s="36" t="s">
        <v>116</v>
      </c>
      <c r="G25" s="36" t="s">
        <v>66</v>
      </c>
      <c r="H25" s="36" t="s">
        <v>71</v>
      </c>
      <c r="I25" s="36" t="s">
        <v>22</v>
      </c>
      <c r="J25" s="20">
        <v>24</v>
      </c>
      <c r="K25" s="37" t="s">
        <v>20</v>
      </c>
      <c r="L25" s="36">
        <v>2034</v>
      </c>
      <c r="M25" s="36">
        <v>2036</v>
      </c>
      <c r="N25" s="36" t="s">
        <v>94</v>
      </c>
      <c r="O25" s="36" t="s">
        <v>114</v>
      </c>
      <c r="P25" s="36" t="s">
        <v>86</v>
      </c>
      <c r="Q25" s="38" t="s">
        <v>25</v>
      </c>
    </row>
    <row r="26" spans="1:17" s="4" customFormat="1" ht="29.4" thickBot="1" x14ac:dyDescent="0.35">
      <c r="A26" s="22">
        <f>+A25</f>
        <v>17</v>
      </c>
      <c r="B26" s="23" t="s">
        <v>91</v>
      </c>
      <c r="C26" s="23" t="s">
        <v>92</v>
      </c>
      <c r="D26" s="39" t="s">
        <v>93</v>
      </c>
      <c r="E26" s="39" t="s">
        <v>20</v>
      </c>
      <c r="F26" s="39" t="s">
        <v>116</v>
      </c>
      <c r="G26" s="39" t="s">
        <v>66</v>
      </c>
      <c r="H26" s="39" t="s">
        <v>72</v>
      </c>
      <c r="I26" s="39" t="s">
        <v>22</v>
      </c>
      <c r="J26" s="20">
        <v>25</v>
      </c>
      <c r="K26" s="40">
        <f>+J25</f>
        <v>24</v>
      </c>
      <c r="L26" s="39">
        <v>0.1</v>
      </c>
      <c r="M26" s="39">
        <v>0.5</v>
      </c>
      <c r="N26" s="39" t="s">
        <v>94</v>
      </c>
      <c r="O26" s="39" t="s">
        <v>114</v>
      </c>
      <c r="P26" s="39" t="s">
        <v>86</v>
      </c>
      <c r="Q26" s="41" t="s">
        <v>25</v>
      </c>
    </row>
    <row r="27" spans="1:17" s="4" customFormat="1" ht="28.8" x14ac:dyDescent="0.3">
      <c r="A27" s="10">
        <f>+A26+1</f>
        <v>18</v>
      </c>
      <c r="B27" s="11" t="s">
        <v>95</v>
      </c>
      <c r="C27" s="11" t="s">
        <v>96</v>
      </c>
      <c r="D27" s="33" t="s">
        <v>93</v>
      </c>
      <c r="E27" s="33" t="s">
        <v>20</v>
      </c>
      <c r="F27" s="33" t="s">
        <v>116</v>
      </c>
      <c r="G27" s="33" t="s">
        <v>66</v>
      </c>
      <c r="H27" s="33" t="s">
        <v>67</v>
      </c>
      <c r="I27" s="33" t="s">
        <v>22</v>
      </c>
      <c r="J27" s="14">
        <v>26</v>
      </c>
      <c r="K27" s="34" t="s">
        <v>20</v>
      </c>
      <c r="L27" s="33">
        <v>0.9</v>
      </c>
      <c r="M27" s="33">
        <v>0.99</v>
      </c>
      <c r="N27" s="33" t="s">
        <v>123</v>
      </c>
      <c r="O27" s="70" t="s">
        <v>114</v>
      </c>
      <c r="P27" s="33" t="s">
        <v>86</v>
      </c>
      <c r="Q27" s="35" t="s">
        <v>25</v>
      </c>
    </row>
    <row r="28" spans="1:17" s="4" customFormat="1" ht="28.8" x14ac:dyDescent="0.3">
      <c r="A28" s="16">
        <f>+A27</f>
        <v>18</v>
      </c>
      <c r="B28" s="17" t="s">
        <v>95</v>
      </c>
      <c r="C28" s="17" t="s">
        <v>96</v>
      </c>
      <c r="D28" s="36" t="s">
        <v>93</v>
      </c>
      <c r="E28" s="36" t="s">
        <v>20</v>
      </c>
      <c r="F28" s="36" t="s">
        <v>116</v>
      </c>
      <c r="G28" s="36" t="s">
        <v>66</v>
      </c>
      <c r="H28" s="36" t="s">
        <v>71</v>
      </c>
      <c r="I28" s="36" t="s">
        <v>22</v>
      </c>
      <c r="J28" s="20">
        <v>27</v>
      </c>
      <c r="K28" s="37" t="s">
        <v>20</v>
      </c>
      <c r="L28" s="36">
        <v>2034</v>
      </c>
      <c r="M28" s="36">
        <v>2036</v>
      </c>
      <c r="N28" s="36" t="s">
        <v>123</v>
      </c>
      <c r="O28" s="71" t="s">
        <v>114</v>
      </c>
      <c r="P28" s="36" t="s">
        <v>86</v>
      </c>
      <c r="Q28" s="38" t="s">
        <v>25</v>
      </c>
    </row>
    <row r="29" spans="1:17" s="4" customFormat="1" ht="29.4" thickBot="1" x14ac:dyDescent="0.35">
      <c r="A29" s="22">
        <f>+A28</f>
        <v>18</v>
      </c>
      <c r="B29" s="23" t="s">
        <v>95</v>
      </c>
      <c r="C29" s="23" t="s">
        <v>96</v>
      </c>
      <c r="D29" s="39" t="s">
        <v>93</v>
      </c>
      <c r="E29" s="39" t="s">
        <v>20</v>
      </c>
      <c r="F29" s="39" t="s">
        <v>116</v>
      </c>
      <c r="G29" s="39" t="s">
        <v>66</v>
      </c>
      <c r="H29" s="39" t="s">
        <v>72</v>
      </c>
      <c r="I29" s="39" t="s">
        <v>22</v>
      </c>
      <c r="J29" s="20">
        <v>28</v>
      </c>
      <c r="K29" s="40">
        <f>+J28</f>
        <v>27</v>
      </c>
      <c r="L29" s="39">
        <v>0.1</v>
      </c>
      <c r="M29" s="39">
        <v>0.5</v>
      </c>
      <c r="N29" s="39" t="s">
        <v>123</v>
      </c>
      <c r="O29" s="72" t="s">
        <v>114</v>
      </c>
      <c r="P29" s="39" t="s">
        <v>86</v>
      </c>
      <c r="Q29" s="41" t="s">
        <v>25</v>
      </c>
    </row>
    <row r="30" spans="1:17" s="4" customFormat="1" ht="28.8" x14ac:dyDescent="0.3">
      <c r="A30" s="10">
        <f>+A29+1</f>
        <v>19</v>
      </c>
      <c r="B30" s="11" t="s">
        <v>97</v>
      </c>
      <c r="C30" s="11" t="s">
        <v>98</v>
      </c>
      <c r="D30" s="33" t="s">
        <v>99</v>
      </c>
      <c r="E30" s="33" t="s">
        <v>20</v>
      </c>
      <c r="F30" s="33" t="s">
        <v>116</v>
      </c>
      <c r="G30" s="33" t="s">
        <v>66</v>
      </c>
      <c r="H30" s="33" t="s">
        <v>67</v>
      </c>
      <c r="I30" s="33" t="s">
        <v>22</v>
      </c>
      <c r="J30" s="14">
        <v>29</v>
      </c>
      <c r="K30" s="34" t="s">
        <v>20</v>
      </c>
      <c r="L30" s="33">
        <v>0.7</v>
      </c>
      <c r="M30" s="33">
        <v>0.85</v>
      </c>
      <c r="N30" s="33" t="s">
        <v>100</v>
      </c>
      <c r="O30" s="33" t="s">
        <v>114</v>
      </c>
      <c r="P30" s="33" t="s">
        <v>86</v>
      </c>
      <c r="Q30" s="35" t="s">
        <v>25</v>
      </c>
    </row>
    <row r="31" spans="1:17" s="4" customFormat="1" ht="28.8" x14ac:dyDescent="0.3">
      <c r="A31" s="16">
        <f>+A30</f>
        <v>19</v>
      </c>
      <c r="B31" s="17" t="s">
        <v>97</v>
      </c>
      <c r="C31" s="17" t="s">
        <v>98</v>
      </c>
      <c r="D31" s="36" t="s">
        <v>99</v>
      </c>
      <c r="E31" s="36" t="s">
        <v>20</v>
      </c>
      <c r="F31" s="36" t="s">
        <v>116</v>
      </c>
      <c r="G31" s="36" t="s">
        <v>66</v>
      </c>
      <c r="H31" s="36" t="s">
        <v>71</v>
      </c>
      <c r="I31" s="36" t="s">
        <v>22</v>
      </c>
      <c r="J31" s="20">
        <v>30</v>
      </c>
      <c r="K31" s="37" t="s">
        <v>20</v>
      </c>
      <c r="L31" s="36">
        <v>2034</v>
      </c>
      <c r="M31" s="36">
        <v>2036</v>
      </c>
      <c r="N31" s="36" t="s">
        <v>100</v>
      </c>
      <c r="O31" s="36" t="s">
        <v>114</v>
      </c>
      <c r="P31" s="36" t="s">
        <v>86</v>
      </c>
      <c r="Q31" s="38" t="s">
        <v>25</v>
      </c>
    </row>
    <row r="32" spans="1:17" s="4" customFormat="1" ht="29.4" thickBot="1" x14ac:dyDescent="0.35">
      <c r="A32" s="22">
        <f>+A31</f>
        <v>19</v>
      </c>
      <c r="B32" s="23" t="s">
        <v>97</v>
      </c>
      <c r="C32" s="23" t="s">
        <v>98</v>
      </c>
      <c r="D32" s="39" t="s">
        <v>99</v>
      </c>
      <c r="E32" s="39" t="s">
        <v>20</v>
      </c>
      <c r="F32" s="39" t="s">
        <v>116</v>
      </c>
      <c r="G32" s="39" t="s">
        <v>66</v>
      </c>
      <c r="H32" s="39" t="s">
        <v>72</v>
      </c>
      <c r="I32" s="39" t="s">
        <v>22</v>
      </c>
      <c r="J32" s="20">
        <v>31</v>
      </c>
      <c r="K32" s="40">
        <f>+J31</f>
        <v>30</v>
      </c>
      <c r="L32" s="39">
        <v>0.1</v>
      </c>
      <c r="M32" s="39">
        <v>0.5</v>
      </c>
      <c r="N32" s="39" t="s">
        <v>100</v>
      </c>
      <c r="O32" s="39" t="s">
        <v>114</v>
      </c>
      <c r="P32" s="39" t="s">
        <v>86</v>
      </c>
      <c r="Q32" s="41" t="s">
        <v>25</v>
      </c>
    </row>
    <row r="33" spans="1:17" s="4" customFormat="1" ht="28.8" x14ac:dyDescent="0.3">
      <c r="A33" s="10">
        <f>+A32+1</f>
        <v>20</v>
      </c>
      <c r="B33" s="11" t="s">
        <v>101</v>
      </c>
      <c r="C33" s="11" t="s">
        <v>102</v>
      </c>
      <c r="D33" s="33" t="s">
        <v>103</v>
      </c>
      <c r="E33" s="33" t="s">
        <v>20</v>
      </c>
      <c r="F33" s="33" t="s">
        <v>116</v>
      </c>
      <c r="G33" s="33" t="s">
        <v>66</v>
      </c>
      <c r="H33" s="33" t="s">
        <v>67</v>
      </c>
      <c r="I33" s="33" t="s">
        <v>22</v>
      </c>
      <c r="J33" s="14">
        <v>32</v>
      </c>
      <c r="K33" s="34" t="s">
        <v>20</v>
      </c>
      <c r="L33" s="33">
        <v>0.35</v>
      </c>
      <c r="M33" s="33">
        <v>0.65</v>
      </c>
      <c r="N33" s="33" t="s">
        <v>104</v>
      </c>
      <c r="O33" s="33" t="s">
        <v>114</v>
      </c>
      <c r="P33" s="33" t="s">
        <v>86</v>
      </c>
      <c r="Q33" s="35" t="s">
        <v>25</v>
      </c>
    </row>
    <row r="34" spans="1:17" s="4" customFormat="1" ht="28.8" x14ac:dyDescent="0.3">
      <c r="A34" s="16">
        <f>+A33</f>
        <v>20</v>
      </c>
      <c r="B34" s="17" t="s">
        <v>101</v>
      </c>
      <c r="C34" s="17" t="s">
        <v>102</v>
      </c>
      <c r="D34" s="36" t="s">
        <v>103</v>
      </c>
      <c r="E34" s="36" t="s">
        <v>20</v>
      </c>
      <c r="F34" s="36" t="s">
        <v>116</v>
      </c>
      <c r="G34" s="36" t="s">
        <v>66</v>
      </c>
      <c r="H34" s="36" t="s">
        <v>71</v>
      </c>
      <c r="I34" s="36" t="s">
        <v>22</v>
      </c>
      <c r="J34" s="20">
        <v>33</v>
      </c>
      <c r="K34" s="37" t="s">
        <v>20</v>
      </c>
      <c r="L34" s="36">
        <v>2034</v>
      </c>
      <c r="M34" s="36">
        <v>2036</v>
      </c>
      <c r="N34" s="36" t="s">
        <v>104</v>
      </c>
      <c r="O34" s="36" t="s">
        <v>114</v>
      </c>
      <c r="P34" s="36" t="s">
        <v>86</v>
      </c>
      <c r="Q34" s="38" t="s">
        <v>25</v>
      </c>
    </row>
    <row r="35" spans="1:17" s="4" customFormat="1" ht="29.4" thickBot="1" x14ac:dyDescent="0.35">
      <c r="A35" s="22">
        <f>+A34</f>
        <v>20</v>
      </c>
      <c r="B35" s="23" t="s">
        <v>101</v>
      </c>
      <c r="C35" s="23" t="s">
        <v>102</v>
      </c>
      <c r="D35" s="39" t="s">
        <v>103</v>
      </c>
      <c r="E35" s="39" t="s">
        <v>20</v>
      </c>
      <c r="F35" s="39" t="s">
        <v>116</v>
      </c>
      <c r="G35" s="39" t="s">
        <v>66</v>
      </c>
      <c r="H35" s="39" t="s">
        <v>72</v>
      </c>
      <c r="I35" s="39" t="s">
        <v>22</v>
      </c>
      <c r="J35" s="20">
        <v>34</v>
      </c>
      <c r="K35" s="40">
        <f>+J34</f>
        <v>33</v>
      </c>
      <c r="L35" s="39">
        <v>0</v>
      </c>
      <c r="M35" s="39">
        <v>0.3</v>
      </c>
      <c r="N35" s="39" t="s">
        <v>104</v>
      </c>
      <c r="O35" s="39" t="s">
        <v>114</v>
      </c>
      <c r="P35" s="39" t="s">
        <v>86</v>
      </c>
      <c r="Q35" s="41" t="s">
        <v>25</v>
      </c>
    </row>
    <row r="36" spans="1:17" s="4" customFormat="1" ht="28.8" x14ac:dyDescent="0.3">
      <c r="A36" s="10">
        <f>+A35+1</f>
        <v>21</v>
      </c>
      <c r="B36" s="11" t="s">
        <v>105</v>
      </c>
      <c r="C36" s="33" t="s">
        <v>106</v>
      </c>
      <c r="D36" s="33" t="s">
        <v>107</v>
      </c>
      <c r="E36" s="33" t="s">
        <v>20</v>
      </c>
      <c r="F36" s="33" t="s">
        <v>116</v>
      </c>
      <c r="G36" s="33" t="s">
        <v>66</v>
      </c>
      <c r="H36" s="33" t="s">
        <v>67</v>
      </c>
      <c r="I36" s="33" t="s">
        <v>22</v>
      </c>
      <c r="J36" s="14">
        <v>35</v>
      </c>
      <c r="K36" s="34" t="s">
        <v>20</v>
      </c>
      <c r="L36" s="33">
        <v>0.05</v>
      </c>
      <c r="M36" s="33">
        <v>0.1</v>
      </c>
      <c r="N36" s="33" t="s">
        <v>108</v>
      </c>
      <c r="O36" s="70" t="s">
        <v>114</v>
      </c>
      <c r="P36" s="33" t="s">
        <v>86</v>
      </c>
      <c r="Q36" s="35" t="s">
        <v>25</v>
      </c>
    </row>
    <row r="37" spans="1:17" s="4" customFormat="1" ht="28.8" x14ac:dyDescent="0.3">
      <c r="A37" s="16">
        <f>+A36</f>
        <v>21</v>
      </c>
      <c r="B37" s="17" t="str">
        <f>+B36</f>
        <v>L_E_11</v>
      </c>
      <c r="C37" s="36" t="s">
        <v>106</v>
      </c>
      <c r="D37" s="36" t="s">
        <v>107</v>
      </c>
      <c r="E37" s="36" t="s">
        <v>20</v>
      </c>
      <c r="F37" s="36" t="s">
        <v>116</v>
      </c>
      <c r="G37" s="36" t="s">
        <v>66</v>
      </c>
      <c r="H37" s="36" t="s">
        <v>71</v>
      </c>
      <c r="I37" s="36" t="s">
        <v>22</v>
      </c>
      <c r="J37" s="20">
        <v>36</v>
      </c>
      <c r="K37" s="37" t="s">
        <v>20</v>
      </c>
      <c r="L37" s="36">
        <v>2044</v>
      </c>
      <c r="M37" s="36">
        <v>2046</v>
      </c>
      <c r="N37" s="36" t="s">
        <v>108</v>
      </c>
      <c r="O37" s="71" t="s">
        <v>114</v>
      </c>
      <c r="P37" s="36" t="s">
        <v>86</v>
      </c>
      <c r="Q37" s="38" t="s">
        <v>25</v>
      </c>
    </row>
    <row r="38" spans="1:17" s="4" customFormat="1" ht="29.4" thickBot="1" x14ac:dyDescent="0.35">
      <c r="A38" s="22">
        <f>+A37</f>
        <v>21</v>
      </c>
      <c r="B38" s="23" t="str">
        <f>+B37</f>
        <v>L_E_11</v>
      </c>
      <c r="C38" s="39" t="s">
        <v>106</v>
      </c>
      <c r="D38" s="39" t="s">
        <v>107</v>
      </c>
      <c r="E38" s="39" t="s">
        <v>20</v>
      </c>
      <c r="F38" s="39" t="s">
        <v>116</v>
      </c>
      <c r="G38" s="39" t="s">
        <v>66</v>
      </c>
      <c r="H38" s="39" t="s">
        <v>72</v>
      </c>
      <c r="I38" s="39" t="s">
        <v>22</v>
      </c>
      <c r="J38" s="20">
        <v>37</v>
      </c>
      <c r="K38" s="55">
        <f>+J37</f>
        <v>36</v>
      </c>
      <c r="L38" s="39">
        <v>0</v>
      </c>
      <c r="M38" s="39">
        <v>0.05</v>
      </c>
      <c r="N38" s="39" t="s">
        <v>108</v>
      </c>
      <c r="O38" s="72" t="s">
        <v>114</v>
      </c>
      <c r="P38" s="39" t="s">
        <v>86</v>
      </c>
      <c r="Q38" s="41" t="s">
        <v>25</v>
      </c>
    </row>
    <row r="39" spans="1:17" s="4" customFormat="1" ht="58.2" thickBot="1" x14ac:dyDescent="0.35">
      <c r="A39" s="5">
        <v>22</v>
      </c>
      <c r="B39" s="6" t="s">
        <v>109</v>
      </c>
      <c r="C39" s="6" t="s">
        <v>110</v>
      </c>
      <c r="D39" s="7" t="s">
        <v>111</v>
      </c>
      <c r="E39" s="7" t="s">
        <v>20</v>
      </c>
      <c r="F39" s="7" t="s">
        <v>115</v>
      </c>
      <c r="G39" s="7" t="s">
        <v>29</v>
      </c>
      <c r="H39" s="7" t="s">
        <v>30</v>
      </c>
      <c r="I39" s="7" t="s">
        <v>31</v>
      </c>
      <c r="J39" s="14">
        <v>38</v>
      </c>
      <c r="K39" s="7" t="s">
        <v>20</v>
      </c>
      <c r="L39" s="7">
        <v>0.99</v>
      </c>
      <c r="M39" s="7">
        <v>1.01</v>
      </c>
      <c r="N39" s="7" t="s">
        <v>124</v>
      </c>
      <c r="O39" s="7" t="s">
        <v>112</v>
      </c>
      <c r="P39" s="7" t="s">
        <v>113</v>
      </c>
      <c r="Q39" s="8" t="s">
        <v>25</v>
      </c>
    </row>
    <row r="40" spans="1:17" s="4" customFormat="1" ht="87" thickBot="1" x14ac:dyDescent="0.35">
      <c r="A40" s="69">
        <f>+A39+1</f>
        <v>23</v>
      </c>
      <c r="B40" s="6" t="s">
        <v>135</v>
      </c>
      <c r="C40" s="7" t="s">
        <v>134</v>
      </c>
      <c r="D40" s="7" t="s">
        <v>137</v>
      </c>
      <c r="E40" s="7" t="s">
        <v>20</v>
      </c>
      <c r="F40" s="7" t="s">
        <v>115</v>
      </c>
      <c r="G40" s="7" t="s">
        <v>29</v>
      </c>
      <c r="H40" s="7" t="s">
        <v>30</v>
      </c>
      <c r="I40" s="7" t="s">
        <v>31</v>
      </c>
      <c r="J40" s="20">
        <v>39</v>
      </c>
      <c r="K40" s="7" t="s">
        <v>20</v>
      </c>
      <c r="L40" s="7">
        <v>0.8</v>
      </c>
      <c r="M40" s="7">
        <v>1.2</v>
      </c>
      <c r="N40" s="7" t="s">
        <v>136</v>
      </c>
      <c r="O40" s="7" t="s">
        <v>33</v>
      </c>
      <c r="P40" s="7" t="s">
        <v>34</v>
      </c>
      <c r="Q40" s="8" t="s">
        <v>25</v>
      </c>
    </row>
    <row r="41" spans="1:17" ht="28.8" x14ac:dyDescent="0.3">
      <c r="A41" s="68">
        <v>24</v>
      </c>
      <c r="B41" s="56" t="s">
        <v>121</v>
      </c>
      <c r="C41" s="57" t="s">
        <v>125</v>
      </c>
      <c r="D41" s="57" t="s">
        <v>126</v>
      </c>
      <c r="E41" s="57" t="s">
        <v>20</v>
      </c>
      <c r="F41" s="57" t="s">
        <v>116</v>
      </c>
      <c r="G41" s="66" t="s">
        <v>127</v>
      </c>
      <c r="H41" s="57" t="s">
        <v>30</v>
      </c>
      <c r="I41" s="57" t="s">
        <v>31</v>
      </c>
      <c r="J41" s="14">
        <v>40</v>
      </c>
      <c r="K41" s="57" t="s">
        <v>20</v>
      </c>
      <c r="L41" s="57">
        <v>0.5</v>
      </c>
      <c r="M41" s="57">
        <v>3</v>
      </c>
      <c r="N41" s="67" t="s">
        <v>138</v>
      </c>
      <c r="O41" s="65" t="s">
        <v>114</v>
      </c>
      <c r="P41" s="57" t="s">
        <v>39</v>
      </c>
      <c r="Q41" s="56" t="s">
        <v>25</v>
      </c>
    </row>
    <row r="42" spans="1:17" ht="29.4" thickBot="1" x14ac:dyDescent="0.35">
      <c r="A42" s="68">
        <v>25</v>
      </c>
      <c r="B42" s="57" t="s">
        <v>132</v>
      </c>
      <c r="C42" s="57" t="s">
        <v>125</v>
      </c>
      <c r="D42" s="57" t="s">
        <v>128</v>
      </c>
      <c r="E42" s="57" t="s">
        <v>20</v>
      </c>
      <c r="F42" s="57" t="s">
        <v>116</v>
      </c>
      <c r="G42" s="66" t="s">
        <v>129</v>
      </c>
      <c r="H42" s="57" t="s">
        <v>30</v>
      </c>
      <c r="I42" s="57" t="s">
        <v>31</v>
      </c>
      <c r="J42" s="20">
        <v>41</v>
      </c>
      <c r="K42" s="57" t="s">
        <v>20</v>
      </c>
      <c r="L42" s="57">
        <v>0.5</v>
      </c>
      <c r="M42" s="57">
        <v>3</v>
      </c>
      <c r="N42" s="67" t="s">
        <v>141</v>
      </c>
      <c r="O42" s="65" t="s">
        <v>114</v>
      </c>
      <c r="P42" s="57" t="s">
        <v>39</v>
      </c>
      <c r="Q42" s="56" t="s">
        <v>25</v>
      </c>
    </row>
    <row r="43" spans="1:17" ht="28.8" x14ac:dyDescent="0.3">
      <c r="A43" s="68">
        <v>26</v>
      </c>
      <c r="B43" s="56" t="s">
        <v>133</v>
      </c>
      <c r="C43" s="57" t="s">
        <v>125</v>
      </c>
      <c r="D43" s="57" t="s">
        <v>130</v>
      </c>
      <c r="E43" s="57" t="s">
        <v>20</v>
      </c>
      <c r="F43" s="57" t="s">
        <v>116</v>
      </c>
      <c r="G43" s="66" t="s">
        <v>131</v>
      </c>
      <c r="H43" s="57" t="s">
        <v>30</v>
      </c>
      <c r="I43" s="57" t="s">
        <v>31</v>
      </c>
      <c r="J43" s="14">
        <v>42</v>
      </c>
      <c r="K43" s="57" t="s">
        <v>20</v>
      </c>
      <c r="L43" s="57">
        <v>0.5</v>
      </c>
      <c r="M43" s="57">
        <v>1.5</v>
      </c>
      <c r="N43" s="67" t="s">
        <v>139</v>
      </c>
      <c r="O43" s="65" t="s">
        <v>114</v>
      </c>
      <c r="P43" s="57" t="s">
        <v>39</v>
      </c>
      <c r="Q43" s="56" t="s">
        <v>25</v>
      </c>
    </row>
    <row r="46" spans="1:17" ht="15" thickBot="1" x14ac:dyDescent="0.35"/>
    <row r="47" spans="1:17" s="4" customFormat="1" ht="29.4" thickBot="1" x14ac:dyDescent="0.35">
      <c r="A47" s="92">
        <f>A46+1</f>
        <v>1</v>
      </c>
      <c r="B47" s="33" t="s">
        <v>97</v>
      </c>
      <c r="C47" s="33" t="s">
        <v>98</v>
      </c>
      <c r="D47" s="33" t="s">
        <v>99</v>
      </c>
      <c r="E47" s="33" t="s">
        <v>20</v>
      </c>
      <c r="F47" s="123" t="s">
        <v>116</v>
      </c>
      <c r="G47" s="33" t="s">
        <v>66</v>
      </c>
      <c r="H47" s="33" t="s">
        <v>67</v>
      </c>
      <c r="I47" s="103" t="s">
        <v>22</v>
      </c>
      <c r="J47" s="107">
        <v>33</v>
      </c>
      <c r="K47" s="99" t="s">
        <v>20</v>
      </c>
      <c r="L47" s="126">
        <v>0</v>
      </c>
      <c r="M47" s="126">
        <v>0.05</v>
      </c>
      <c r="N47" s="33" t="s">
        <v>100</v>
      </c>
      <c r="O47" s="73" t="s">
        <v>155</v>
      </c>
      <c r="P47" s="33" t="s">
        <v>86</v>
      </c>
      <c r="Q47" s="35" t="s">
        <v>25</v>
      </c>
    </row>
    <row r="48" spans="1:17" s="4" customFormat="1" ht="29.4" thickBot="1" x14ac:dyDescent="0.35">
      <c r="A48" s="94">
        <f>+A47</f>
        <v>1</v>
      </c>
      <c r="B48" s="36" t="s">
        <v>97</v>
      </c>
      <c r="C48" s="36" t="s">
        <v>98</v>
      </c>
      <c r="D48" s="36" t="s">
        <v>99</v>
      </c>
      <c r="E48" s="36" t="s">
        <v>20</v>
      </c>
      <c r="F48" s="124" t="s">
        <v>116</v>
      </c>
      <c r="G48" s="36" t="s">
        <v>66</v>
      </c>
      <c r="H48" s="36" t="s">
        <v>71</v>
      </c>
      <c r="I48" s="104" t="s">
        <v>22</v>
      </c>
      <c r="J48" s="108">
        <v>34</v>
      </c>
      <c r="K48" s="56" t="s">
        <v>20</v>
      </c>
      <c r="L48" s="127">
        <v>2034</v>
      </c>
      <c r="M48" s="127">
        <v>2036</v>
      </c>
      <c r="N48" s="36" t="s">
        <v>100</v>
      </c>
      <c r="O48" s="73" t="s">
        <v>155</v>
      </c>
      <c r="P48" s="36" t="s">
        <v>86</v>
      </c>
      <c r="Q48" s="38" t="s">
        <v>25</v>
      </c>
    </row>
    <row r="49" spans="1:17" s="4" customFormat="1" ht="29.4" thickBot="1" x14ac:dyDescent="0.35">
      <c r="A49" s="96">
        <f>+A48</f>
        <v>1</v>
      </c>
      <c r="B49" s="39" t="s">
        <v>97</v>
      </c>
      <c r="C49" s="39" t="s">
        <v>98</v>
      </c>
      <c r="D49" s="39" t="s">
        <v>99</v>
      </c>
      <c r="E49" s="39" t="s">
        <v>20</v>
      </c>
      <c r="F49" s="125" t="s">
        <v>116</v>
      </c>
      <c r="G49" s="39" t="s">
        <v>66</v>
      </c>
      <c r="H49" s="39" t="s">
        <v>72</v>
      </c>
      <c r="I49" s="105" t="s">
        <v>22</v>
      </c>
      <c r="J49" s="108">
        <v>35</v>
      </c>
      <c r="K49" s="100">
        <f>+J48</f>
        <v>34</v>
      </c>
      <c r="L49" s="128">
        <v>0</v>
      </c>
      <c r="M49" s="128">
        <v>0.03</v>
      </c>
      <c r="N49" s="39" t="s">
        <v>100</v>
      </c>
      <c r="O49" s="73" t="s">
        <v>155</v>
      </c>
      <c r="P49" s="39" t="s">
        <v>86</v>
      </c>
      <c r="Q49" s="41" t="s">
        <v>25</v>
      </c>
    </row>
    <row r="50" spans="1:17" s="4" customFormat="1" ht="29.4" thickBot="1" x14ac:dyDescent="0.35">
      <c r="A50" s="92">
        <f>A49+1</f>
        <v>2</v>
      </c>
      <c r="B50" s="33" t="s">
        <v>101</v>
      </c>
      <c r="C50" s="33" t="s">
        <v>102</v>
      </c>
      <c r="D50" s="33" t="s">
        <v>103</v>
      </c>
      <c r="E50" s="33" t="s">
        <v>20</v>
      </c>
      <c r="F50" s="123" t="s">
        <v>116</v>
      </c>
      <c r="G50" s="33" t="s">
        <v>66</v>
      </c>
      <c r="H50" s="33" t="s">
        <v>67</v>
      </c>
      <c r="I50" s="103" t="s">
        <v>22</v>
      </c>
      <c r="J50" s="107">
        <v>36</v>
      </c>
      <c r="K50" s="99" t="s">
        <v>20</v>
      </c>
      <c r="L50" s="126">
        <v>0</v>
      </c>
      <c r="M50" s="126">
        <v>0.05</v>
      </c>
      <c r="N50" s="33" t="s">
        <v>104</v>
      </c>
      <c r="O50" s="73" t="s">
        <v>155</v>
      </c>
      <c r="P50" s="33" t="s">
        <v>86</v>
      </c>
      <c r="Q50" s="35" t="s">
        <v>25</v>
      </c>
    </row>
    <row r="51" spans="1:17" s="4" customFormat="1" ht="29.4" thickBot="1" x14ac:dyDescent="0.35">
      <c r="A51" s="94">
        <f>+A50</f>
        <v>2</v>
      </c>
      <c r="B51" s="36" t="s">
        <v>101</v>
      </c>
      <c r="C51" s="36" t="s">
        <v>102</v>
      </c>
      <c r="D51" s="36" t="s">
        <v>103</v>
      </c>
      <c r="E51" s="36" t="s">
        <v>20</v>
      </c>
      <c r="F51" s="124" t="s">
        <v>116</v>
      </c>
      <c r="G51" s="36" t="s">
        <v>66</v>
      </c>
      <c r="H51" s="36" t="s">
        <v>71</v>
      </c>
      <c r="I51" s="104" t="s">
        <v>22</v>
      </c>
      <c r="J51" s="108">
        <v>37</v>
      </c>
      <c r="K51" s="56" t="s">
        <v>20</v>
      </c>
      <c r="L51" s="127">
        <v>2034</v>
      </c>
      <c r="M51" s="127">
        <v>2036</v>
      </c>
      <c r="N51" s="36" t="s">
        <v>104</v>
      </c>
      <c r="O51" s="73" t="s">
        <v>155</v>
      </c>
      <c r="P51" s="36" t="s">
        <v>86</v>
      </c>
      <c r="Q51" s="38" t="s">
        <v>25</v>
      </c>
    </row>
    <row r="52" spans="1:17" s="4" customFormat="1" ht="29.4" thickBot="1" x14ac:dyDescent="0.35">
      <c r="A52" s="96">
        <f>+A51</f>
        <v>2</v>
      </c>
      <c r="B52" s="39" t="s">
        <v>101</v>
      </c>
      <c r="C52" s="39" t="s">
        <v>102</v>
      </c>
      <c r="D52" s="39" t="s">
        <v>103</v>
      </c>
      <c r="E52" s="39" t="s">
        <v>20</v>
      </c>
      <c r="F52" s="125" t="s">
        <v>116</v>
      </c>
      <c r="G52" s="39" t="s">
        <v>66</v>
      </c>
      <c r="H52" s="39" t="s">
        <v>72</v>
      </c>
      <c r="I52" s="105" t="s">
        <v>22</v>
      </c>
      <c r="J52" s="108">
        <v>38</v>
      </c>
      <c r="K52" s="100">
        <f>+J51</f>
        <v>37</v>
      </c>
      <c r="L52" s="128">
        <v>0</v>
      </c>
      <c r="M52" s="128">
        <v>0.03</v>
      </c>
      <c r="N52" s="39" t="s">
        <v>104</v>
      </c>
      <c r="O52" s="73" t="s">
        <v>155</v>
      </c>
      <c r="P52" s="39" t="s">
        <v>86</v>
      </c>
      <c r="Q52" s="41" t="s">
        <v>25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4FB0E003A88C4B9D9793633BA4B356" ma:contentTypeVersion="12" ma:contentTypeDescription="Create a new document." ma:contentTypeScope="" ma:versionID="47be61afb57dbdcdac73424092eefa1c">
  <xsd:schema xmlns:xsd="http://www.w3.org/2001/XMLSchema" xmlns:xs="http://www.w3.org/2001/XMLSchema" xmlns:p="http://schemas.microsoft.com/office/2006/metadata/properties" xmlns:ns2="0d55314f-45f1-40c9-9fce-63556e193d03" targetNamespace="http://schemas.microsoft.com/office/2006/metadata/properties" ma:root="true" ma:fieldsID="2e59f5c7e704c6a619606efe0cdd9ac5" ns2:_="">
    <xsd:import namespace="0d55314f-45f1-40c9-9fce-63556e193d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55314f-45f1-40c9-9fce-63556e19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55314f-45f1-40c9-9fce-63556e193d0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8F510A-6C83-4ACD-8A27-0C5193D1DB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55314f-45f1-40c9-9fce-63556e193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CCC133-52B9-4083-A2AF-83A53EE21EE1}">
  <ds:schemaRefs>
    <ds:schemaRef ds:uri="http://schemas.microsoft.com/sharepoint/v3/contenttype/forms"/>
  </ds:schemaRefs>
</ds:datastoreItem>
</file>

<file path=customXml/itemProps3.xml><?xml version="1.0" encoding="utf-8"?>
<ds:datastoreItem xmlns:ds="http://schemas.openxmlformats.org/officeDocument/2006/customXml" ds:itemID="{76C9F701-5DCD-41DB-BF20-52B5CFF9A118}">
  <ds:schemaRefs>
    <ds:schemaRef ds:uri="http://schemas.microsoft.com/office/2006/metadata/properties"/>
    <ds:schemaRef ds:uri="http://schemas.microsoft.com/office/infopath/2007/PartnerControls"/>
    <ds:schemaRef ds:uri="9c2c21c4-f980-47d5-be5b-1bb924ee96a2"/>
    <ds:schemaRef ds:uri="0d55314f-45f1-40c9-9fce-63556e193d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Unified_table</vt:lpstr>
      <vt:lpstr>Unified_table (2)</vt:lpstr>
      <vt:lpstr>Unified_table_old</vt:lpstr>
      <vt:lpstr>EnergyTransport_RD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Alfaro Corrales</dc:creator>
  <cp:lastModifiedBy>Ignacio  Alfaro Corrales</cp:lastModifiedBy>
  <dcterms:created xsi:type="dcterms:W3CDTF">2015-06-05T18:17:20Z</dcterms:created>
  <dcterms:modified xsi:type="dcterms:W3CDTF">2025-05-15T02:59:25Z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0x010100F74FB0E003A88C4B9D9793633BA4B356</vt:lpwstr>
  </property>
  <property fmtid="{D5CDD505-2E9C-101B-9397-08002B2CF9AE}" pid="3" name="MediaServiceImageTags">
    <vt:lpwstr/>
  </property>
</Properties>
</file>