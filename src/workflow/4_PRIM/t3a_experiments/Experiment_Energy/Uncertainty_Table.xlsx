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IgnacioAlfaroCorrale\Desktop\Models_running\JAMAICA_parallel_v7\parallel_world\RDM\Experiment_Energy_test\"/>
    </mc:Choice>
  </mc:AlternateContent>
  <xr:revisionPtr revIDLastSave="0" documentId="13_ncr:1_{EC142F1E-7C31-45EF-9C62-63DE7B9B4B1F}" xr6:coauthVersionLast="47" xr6:coauthVersionMax="47" xr10:uidLastSave="{00000000-0000-0000-0000-000000000000}"/>
  <bookViews>
    <workbookView xWindow="28680" yWindow="-45" windowWidth="29040" windowHeight="15720" xr2:uid="{A38498C0-325E-4D75-9B65-6D8B75ECDFF0}"/>
  </bookViews>
  <sheets>
    <sheet name="Experiment" sheetId="8" r:id="rId1"/>
    <sheet name="Experiment_Centered" sheetId="6" r:id="rId2"/>
    <sheet name="Experiment_Centered_OG" sheetId="5"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 i="6" l="1"/>
  <c r="J49" i="5"/>
  <c r="J50" i="5" s="1"/>
  <c r="K43" i="5"/>
  <c r="K40" i="5"/>
  <c r="B40" i="5"/>
  <c r="B39" i="5"/>
  <c r="K37" i="5"/>
  <c r="K34" i="5"/>
  <c r="K31" i="5"/>
  <c r="K28" i="5"/>
  <c r="K25" i="5"/>
  <c r="K22" i="5"/>
  <c r="K16" i="5"/>
  <c r="B16" i="5"/>
  <c r="B15" i="5"/>
  <c r="K13" i="5"/>
  <c r="B12" i="5"/>
  <c r="B13" i="5" s="1"/>
  <c r="A3" i="5"/>
  <c r="A4" i="5" s="1"/>
  <c r="A5" i="5" s="1"/>
  <c r="A6" i="5" s="1"/>
  <c r="A7" i="5" s="1"/>
  <c r="A8" i="5" s="1"/>
  <c r="A9" i="5" s="1"/>
  <c r="A10" i="5" s="1"/>
  <c r="A11" i="5" s="1"/>
  <c r="A12" i="5" l="1"/>
  <c r="A13" i="5" s="1"/>
  <c r="A14" i="5"/>
  <c r="A15" i="5" l="1"/>
  <c r="A16" i="5" s="1"/>
  <c r="A17" i="5"/>
  <c r="A18" i="5" s="1"/>
  <c r="A19" i="5" s="1"/>
  <c r="A20" i="5" s="1"/>
  <c r="A21" i="5" s="1"/>
  <c r="A22" i="5" s="1"/>
  <c r="A23" i="5" s="1"/>
  <c r="A24" i="5" s="1"/>
  <c r="A25" i="5" s="1"/>
  <c r="A26" i="5" s="1"/>
  <c r="A27" i="5" s="1"/>
  <c r="A28" i="5" s="1"/>
  <c r="A29" i="5" s="1"/>
  <c r="A30" i="5" s="1"/>
  <c r="A31" i="5" s="1"/>
  <c r="A32" i="5" s="1"/>
  <c r="A33" i="5" s="1"/>
  <c r="A34" i="5" s="1"/>
  <c r="A35" i="5" s="1"/>
  <c r="A36" i="5" s="1"/>
  <c r="A37" i="5" s="1"/>
  <c r="A38" i="5" s="1"/>
  <c r="A39" i="5" s="1"/>
  <c r="A40"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Ignacio  Alfaro Corrales</author>
  </authors>
  <commentList>
    <comment ref="N9" authorId="0" shapeId="0" xr:uid="{70B46649-4858-48B7-9A7B-D373484FB7A0}">
      <text>
        <r>
          <rPr>
            <b/>
            <sz val="9"/>
            <color indexed="81"/>
            <rFont val="Tahoma"/>
            <family val="2"/>
          </rPr>
          <t>Aquí van fuels o commodities porque la demanda no depende de una tecnología sino de un fuel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Ignacio  Alfaro Corrales</author>
  </authors>
  <commentList>
    <comment ref="N7" authorId="0" shapeId="0" xr:uid="{A0667A26-3C03-43DF-A658-B091C432A5BA}">
      <text>
        <r>
          <rPr>
            <b/>
            <sz val="9"/>
            <color indexed="81"/>
            <rFont val="Tahoma"/>
            <family val="2"/>
          </rPr>
          <t>Aquí van fuels o commodities porque la demanda no depende de una tecnología sino de un fuel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luisf</author>
    <author>Ignacio  Alfaro Corrales</author>
  </authors>
  <commentList>
    <comment ref="G19" authorId="0" shapeId="0" xr:uid="{25920AB5-E771-4ABD-8148-14E31DD43C0F}">
      <text>
        <r>
          <rPr>
            <b/>
            <sz val="9"/>
            <color indexed="81"/>
            <rFont val="Tahoma"/>
            <family val="2"/>
          </rPr>
          <t>This is actually not an investment, but a trick to reuse existing methods</t>
        </r>
      </text>
    </comment>
    <comment ref="N46" authorId="1" shapeId="0" xr:uid="{9C0E9743-4D18-482A-9515-FDFA7C4C49EA}">
      <text>
        <r>
          <rPr>
            <b/>
            <sz val="9"/>
            <color indexed="81"/>
            <rFont val="Tahoma"/>
            <family val="2"/>
          </rPr>
          <t>Aquí van fuels o commodities porque la demanda no depende de una tecnología sino de un fuel</t>
        </r>
      </text>
    </comment>
    <comment ref="N47" authorId="1" shapeId="0" xr:uid="{6101D915-C1CD-43B3-9F97-4593977CB68C}">
      <text>
        <r>
          <rPr>
            <b/>
            <sz val="9"/>
            <color indexed="81"/>
            <rFont val="Tahoma"/>
            <family val="2"/>
          </rPr>
          <t>Aquí van fuels o commodities porque la demanda no depende de una tecnología sino de un fuel</t>
        </r>
      </text>
    </comment>
    <comment ref="N48" authorId="1" shapeId="0" xr:uid="{4334CBB9-2B54-4961-9159-123CBAC1F5AA}">
      <text>
        <r>
          <rPr>
            <b/>
            <sz val="9"/>
            <color indexed="81"/>
            <rFont val="Tahoma"/>
            <family val="2"/>
          </rPr>
          <t>PPPVT ; PPPVD ; PPPVDS</t>
        </r>
      </text>
    </comment>
  </commentList>
</comments>
</file>

<file path=xl/sharedStrings.xml><?xml version="1.0" encoding="utf-8"?>
<sst xmlns="http://schemas.openxmlformats.org/spreadsheetml/2006/main" count="1034" uniqueCount="199">
  <si>
    <t>X_Num</t>
  </si>
  <si>
    <t>XLRM_ID</t>
  </si>
  <si>
    <t>X_Category</t>
  </si>
  <si>
    <t>X_Plain_English_Description</t>
  </si>
  <si>
    <t>Sign_Dependency_on_Specified_Xs</t>
  </si>
  <si>
    <t>Involved_Scenarios</t>
  </si>
  <si>
    <t>X_Mathematical_Type</t>
  </si>
  <si>
    <t>Explored_Parameter_of_X</t>
  </si>
  <si>
    <t>Explored_Parameter_is_Relative_to_Baseline</t>
  </si>
  <si>
    <t>Explored_Parameter_Number</t>
  </si>
  <si>
    <t>Dependency_on_Previous_Explored_Parameter</t>
  </si>
  <si>
    <t>Min_Value</t>
  </si>
  <si>
    <t>Max_Value</t>
  </si>
  <si>
    <t>Involved_Sets_in_Osemosys</t>
  </si>
  <si>
    <t>Exact_Parameters_Involved_in_Osemosys</t>
  </si>
  <si>
    <t>Manipulation_of_Parameter</t>
  </si>
  <si>
    <t>Justification</t>
  </si>
  <si>
    <t>n.a.</t>
  </si>
  <si>
    <t>E6TDPASPRI ; E6TDPASPUB ; E6TRNOMOT</t>
  </si>
  <si>
    <t>SpecifiedAnnualDemand</t>
  </si>
  <si>
    <t>CapacityFactor ; TotalTechnologyAnnualActivityLowerLimit</t>
  </si>
  <si>
    <t>X_E_1</t>
  </si>
  <si>
    <t>Time_Series</t>
  </si>
  <si>
    <t>Final_Value</t>
  </si>
  <si>
    <t>YES</t>
  </si>
  <si>
    <t>1) Multiply final value of time series by the Explored Parameter in each future and then interpolate. 2) Assign the modified parameter back.</t>
  </si>
  <si>
    <t>X_E_2</t>
  </si>
  <si>
    <t>X_E_3</t>
  </si>
  <si>
    <t>Passenger Demand</t>
  </si>
  <si>
    <t>X_E_4</t>
  </si>
  <si>
    <t>Freight Demand</t>
  </si>
  <si>
    <t>X_E_5</t>
  </si>
  <si>
    <t>Fossil Supply Cost</t>
  </si>
  <si>
    <t>Import and capital costs of gasoline, diesel and LPG</t>
  </si>
  <si>
    <t>X_E_6</t>
  </si>
  <si>
    <t>Power Costs</t>
  </si>
  <si>
    <t>Renewables, storage, and other infrastructure unit costs</t>
  </si>
  <si>
    <t>X_E_7</t>
  </si>
  <si>
    <t>Capacity Factor (GWh produced / Gw installed) and Produced Energy (PJ)</t>
  </si>
  <si>
    <t>X_E_8</t>
  </si>
  <si>
    <t>Unit BEV Cost</t>
  </si>
  <si>
    <t>Cost of Electric, Hybrid-Electric (Diesel), Hybrid-Electric (Gasoline) Private Vehicles and Taxis (New) &amp;&amp; Cost of Electric Public Bus and Minibus and Light Freight Trucks and Heavy Freight Trucks (New) &amp;&amp; Cost of Plug-In Hybrid-Electric Public Bus and Minibus and Light Freight Trucks and Heavy Freight Trucks (New)</t>
  </si>
  <si>
    <t>CapitalCost ; FixedCost</t>
  </si>
  <si>
    <t>L_E_1</t>
  </si>
  <si>
    <t>Mode Shift</t>
  </si>
  <si>
    <t>Growth of share of public transport Use</t>
  </si>
  <si>
    <t>L_E_2</t>
  </si>
  <si>
    <t>Growth of share of non-motorized transport</t>
  </si>
  <si>
    <t>X_E_9</t>
  </si>
  <si>
    <t>Occupancy Rates of Passenger Vehicles</t>
  </si>
  <si>
    <t>OutputActivityRatio</t>
  </si>
  <si>
    <t>none</t>
  </si>
  <si>
    <t>Adjustment OAR</t>
  </si>
  <si>
    <t>This serves to update the capacity parameters of freight and also fleet share restrictions</t>
  </si>
  <si>
    <t>L_E_3</t>
  </si>
  <si>
    <t>Electrification of Public Transport</t>
  </si>
  <si>
    <t>Growth of Electric public transport</t>
  </si>
  <si>
    <t>TotalAnnualMaxCapacity ; TotalTechnologyAnnualActivityLowerLimit</t>
  </si>
  <si>
    <t>L_E_4</t>
  </si>
  <si>
    <t>Electrification of Private Transport</t>
  </si>
  <si>
    <t>Growth of Electric private transport</t>
  </si>
  <si>
    <t>L_E_5</t>
  </si>
  <si>
    <t>Electrification of Light Freight Transport</t>
  </si>
  <si>
    <t>Growth of Electric light freight</t>
  </si>
  <si>
    <t>L_E_6</t>
  </si>
  <si>
    <t>Electrification of Heavy Freight Transport</t>
  </si>
  <si>
    <t>Growth of Electric heavy freight</t>
  </si>
  <si>
    <t>L_E_7</t>
  </si>
  <si>
    <t>Penetration of Hydrogen in Heavy Freight Transport</t>
  </si>
  <si>
    <t>Growth of Hydrogen heavy freight</t>
  </si>
  <si>
    <t>Average Distance</t>
  </si>
  <si>
    <t>The relative distance reduction due of DP with respect to BAU of passenger transport demand</t>
  </si>
  <si>
    <t>CapitalCost ; FixedCost ; ResidualCapacity ; TotalAnnualMaxCapacity ; TotalTechnologyAnnualActivityLowerLimit</t>
  </si>
  <si>
    <t>1) Multiply final value of time series by the Explored Parameter in each future and then interpolate. 2) The returned Time Series affects the variables explained. The operation is a "base change", as all variables are in a cost base that needs updating.</t>
  </si>
  <si>
    <t>L_E_8</t>
  </si>
  <si>
    <t>L_E_9</t>
  </si>
  <si>
    <t>L_E_10</t>
  </si>
  <si>
    <t>GDP</t>
  </si>
  <si>
    <t>The growth rate of GDP</t>
  </si>
  <si>
    <t>Constant</t>
  </si>
  <si>
    <t>NO</t>
  </si>
  <si>
    <t>The rate is taken constant, starting in 2025.</t>
  </si>
  <si>
    <t>E6TDFREHEA ; E6TDFRELIG</t>
  </si>
  <si>
    <t>Techs_Auto ; Techs_Motos ; Techs_He_Freight ; Techs_Li_Freight ; Techs_Buses_Pri ; Techs_Buses_Micro ; Techs_Buses_Pub</t>
  </si>
  <si>
    <t>1) Sum parameters of all sets. 2) Multiply final value of time series by the Explored Parameter in each future and then interpolate. 3a) For BAU, redistribute demand back to private, public and non-motorized with the same distribution as baseline. 3b) For DP and related scenarios, store until uncertainties 135, 136, 141 and 142 are assigned. 4) Subtract Public and Non-Motorized to the Passenger Demand and assign to Private Transport.</t>
  </si>
  <si>
    <t>CapitalCost; VariableCost</t>
  </si>
  <si>
    <t>Unit ICEV Cost</t>
  </si>
  <si>
    <t>Cost of Diesel, Gasoline, LPG Private Vehicles and Taxis and Motrocycle (New) &amp;&amp; Cost of Diesel Public Bus and Minibus and Light Freight Trucks and Heavy Freight Trucks (New) &amp;&amp; Cost of LPG Public Bus and Minibus and Light Freight Trucks and Heavy Freight Trucks (New)</t>
  </si>
  <si>
    <t>CapitalCost ; FixedCost ; InputActivityRatio</t>
  </si>
  <si>
    <t>TRAUTELE ; TRAUTHG ; TRAUTPHG ; TRMOTELE ; TRXTTELELE ; TRYTKELE ; TRYTKHD ; TRYTKPHD ; TRYLFELE ; TRYLFHD ; TRYLFPHD ; TRBPRELE ; TRBPRPHD ; TRBPUELE ; TRBPUPHD ; TRMBSELE ; TRMBSPHD</t>
  </si>
  <si>
    <t>Unit H2 Cost</t>
  </si>
  <si>
    <t>Cost of Hydrogen Public Bus, Minibus, Private bus, Light Freight Trucks and Heavy Freight Trucks (New)</t>
  </si>
  <si>
    <t>TRYTKHYD ; TRBPRHYD ; TRBPUHYD ; TRMBSHYD</t>
  </si>
  <si>
    <t>Capacity factor of DAM power plants</t>
  </si>
  <si>
    <t>Occupancy Rates of automobiles, motorcycles, minibus heavy truck and light trucks</t>
  </si>
  <si>
    <t>Occupancy Rates of Public Transport Vehicles (Bus Public)</t>
  </si>
  <si>
    <t>Techs_Buses_Pub</t>
  </si>
  <si>
    <t>Adoption_Curve</t>
  </si>
  <si>
    <t>L (value in 2050)</t>
  </si>
  <si>
    <t>TRBPUELE</t>
  </si>
  <si>
    <t>1) Multiply curve points by capacity of associated group technology. 2) Assign to Osemosys parameter</t>
  </si>
  <si>
    <t>M (year in which the function is valued C)</t>
  </si>
  <si>
    <t>C (value of function in a year M)</t>
  </si>
  <si>
    <t>Penetration of Hydrogen in Public Transport</t>
  </si>
  <si>
    <t>Growth of Hydrogen in public transport</t>
  </si>
  <si>
    <t>TRBPUHYD</t>
  </si>
  <si>
    <t>TRYLFELE</t>
  </si>
  <si>
    <t>TRYTKELE</t>
  </si>
  <si>
    <t>TRYTKHYD</t>
  </si>
  <si>
    <t>Matriz DAMI</t>
  </si>
  <si>
    <t>E6TDPASPUB</t>
  </si>
  <si>
    <t>E6TRNOMOT</t>
  </si>
  <si>
    <t>L_E_11</t>
  </si>
  <si>
    <t>PPHDAM ; PPHROR</t>
  </si>
  <si>
    <r>
      <t xml:space="preserve">1) Multiply curve points by </t>
    </r>
    <r>
      <rPr>
        <i/>
        <sz val="11"/>
        <color theme="1"/>
        <rFont val="Calibri"/>
        <family val="2"/>
        <scheme val="minor"/>
      </rPr>
      <t>Total Demand.</t>
    </r>
    <r>
      <rPr>
        <sz val="11"/>
        <color theme="1"/>
        <rFont val="Calibri"/>
        <family val="2"/>
        <scheme val="minor"/>
      </rPr>
      <t xml:space="preserve"> 2) Assign to Osemosys parameter</t>
    </r>
  </si>
  <si>
    <t>1) Multiply curve points by Total Demand. 2) Assign to Osemosys parameter</t>
  </si>
  <si>
    <t>Expert criteria</t>
  </si>
  <si>
    <t>Techs_Buses_Pri ; Techs_Buses_Micro ; Techs_Auto</t>
  </si>
  <si>
    <t>L_E_12</t>
  </si>
  <si>
    <t>TRAUTELE</t>
  </si>
  <si>
    <t>Electrification of Private Transport 2</t>
  </si>
  <si>
    <t>PPPVD ; PPPVDS ; PPPVT ; PPWNDON ; ELE_DIST ; ELE_TRANS ; HYD_G_PROD ; HYD_DIST ; PPHDAM ; PPHROR ;  PPGEO ; PPPVT2 ; T4ELE_PRI ; T4ELE_PUB ; T4ELE_HEA ; T4ELE_LIG</t>
  </si>
  <si>
    <t>DIST_DSL ; DIST_GSL ; DIST_LPG ; DIST_FLEXFUEL</t>
  </si>
  <si>
    <t>TRAUTDSL ; TRAUTGSL ; TRAUTLPG ; TRAUTFlex_Fuel ; TRMOTGSL ; TRMOTFlex_Fuel ; TRYTKDSL ; TRYTKLPG ; TRYLFDSL ; TRYLFGSL ; TRYLFLPG ; TRBPRDSL ; TRBPRLPG ; TRBPUDSL ; TRBPULPG ; TRMBSDSL ; TRMBSGSL ; TRMBSLPG</t>
  </si>
  <si>
    <t>L_E_13</t>
  </si>
  <si>
    <t>Electrification of Private Transport 3</t>
  </si>
  <si>
    <t>TRMOTELE</t>
  </si>
  <si>
    <t>TRBPRELE ; TRMBSELE</t>
  </si>
  <si>
    <t>Final value of passenger demand elasticity to GDP in 2050 (EXPLICIT)</t>
  </si>
  <si>
    <t>Final value of freight demand elasticity to GDP in 2050 (EXPLICIT)</t>
  </si>
  <si>
    <t>Electricity generation share</t>
  </si>
  <si>
    <t>Participation of solar power plants in the electricity matrix</t>
  </si>
  <si>
    <t>Mult_Restriction_Start</t>
  </si>
  <si>
    <t>TotalTechnologyAnnualActivityLowerLimit</t>
  </si>
  <si>
    <t>Participation of wind power plants in the electricity matrix</t>
  </si>
  <si>
    <t>Mult_Restriction</t>
  </si>
  <si>
    <t>L_E_15</t>
  </si>
  <si>
    <t>Participation of thermal power plants in the electricity matrix</t>
  </si>
  <si>
    <t>Mult_Restriction_End</t>
  </si>
  <si>
    <t>L_E_16</t>
  </si>
  <si>
    <t>PPWNDON</t>
  </si>
  <si>
    <t>PPCOA ; PPDSL ;  PPNGS ; PPFOI</t>
  </si>
  <si>
    <t>Electrical Demand</t>
  </si>
  <si>
    <t>Final value of electrical demand in 2050 (EXPLICIT)</t>
  </si>
  <si>
    <t>X_E_10</t>
  </si>
  <si>
    <t>E5COMELE ; E5INDELE ; E5RESELE</t>
  </si>
  <si>
    <t>PPPVT ; PPPVTS ; PPPVD ; PPPVDS</t>
  </si>
  <si>
    <t>X_E_11</t>
  </si>
  <si>
    <t>Fuel Demand</t>
  </si>
  <si>
    <t>E5COMGSL ; E5COMLPG ; E5COMKER ; E5COMFIR ; E5COMBIM ; E5INDDSL ; E5INDGSL ; E5INDLPG ; E5INDHYD ; E5INDCOK ; E5INDCEMCOK ; E5INDCEMELE ; E5INDKER ; E5INDBIM ; E5INDBGS ; E5INDFOI ; E5RESLPG ; E5RESKER ; E5RESFIR ; E5RESBIM</t>
  </si>
  <si>
    <t>Final value of energy demand in 2050 (EXPLICIT)</t>
  </si>
  <si>
    <t>X_E_12</t>
  </si>
  <si>
    <t>BAU</t>
  </si>
  <si>
    <t>L_E_14</t>
  </si>
  <si>
    <t>LTS</t>
  </si>
  <si>
    <t>BAU; LTS</t>
  </si>
  <si>
    <t>BAU ; LTS</t>
  </si>
  <si>
    <t>PPWNDON ; PPWNDONS</t>
  </si>
  <si>
    <t>PPDSL ;  PPNGS ; PPFOI</t>
  </si>
  <si>
    <t>Refrigerantes</t>
  </si>
  <si>
    <t>E5COMELE ; E5RESELE ; E5INDCEMELE ; E5INDBAXELE ; E5INDSUMELE ; E5INDOTMELE ; E5CONELE ; E5TMAELE ; E5TROELE</t>
  </si>
  <si>
    <t>E5COMDSL ; E5COMGSL ; E5COMLPG ; E5COMFIR ; E5COMCHA ; E5COMOPE ; E5COMNGS ; E5RESDSL ; E5RESGSL ; E5RESLPG ; E5RESKER ; E5RESFIR ; E5RESCHA ; E5RESOPE ; E5INDCEMDSL ; E5INDCEMGSL ; E5INDCEMNGS ; E5INDCEMHYD ; E5INDCEMCOK ; E5INDCEMBIM ; E5INDCEMCOA ; E5INDCEMFOI ; E5INDBAXDSL ; E5INDBAXGSL ; E5INDBAXNGS ; E5INDBAXHYD ; E5INDBAXCOK ; E5INDBAXBIM ; E5INDBAXCOA ; E5INDBAXFOI ; E5INDSUMDSL ; E5INDSUMGSL ; E5INDSUMNGS ; E5INDSUMHYD ; E5INDSUMCOK ; E5INDSUMBIM ; E5INDSUMCOA ; E5INDSUMFOI ; E5INDOTMDSL ; E5INDOTMGSL ; E5INDOTMNGS ; E5INDOTMHYD ; E5INDOTMCOK ; E5INDOTMBIM ; E5INDOTMCOA ; E5INDOTMFOI ; E5CONDSL ; E5CONGSL ; E5CONFOI ; E5EXPDSL ; E5EXPJET ; E5EXPFOI ; E5TMADSL ; E5TMANGS ; E5TMALPG ; E5TMAHYD ; E5TMAFOI ; E5TRODSL ; E5TROGSL ; E5TRONGS ; E5TROLPG ; E5TROHYD ; E5TROBGS ; E5TROOPE ; E5TROFOI ; E5TAEJET</t>
  </si>
  <si>
    <t>DIST_DSL ; DIST_GSL ; DIST_NGS ; DIST_LPG ; DIST_COK ; DIST_KER ; DIST_JET ; DIST_FIR ; DIST_CHA ; DIST_BIM ; DIST_BGS ; DIST_OPE ; EXTT_CRU ; DIST_COA ; DIST_FOI ; T5FIRCOM ; T5FIRRES ; T5BIMINDCEM ; T5BIMINDBAX ; T5BIMINDSUM ; T5BIMINDOTM ; T5BGSTRO ; T5DSLCOM ; T5GSLCOM ; T5LPGCOM ; T5CHACOM ; T5OPECOM ; T5NGSCOM ; T5DSLRES ; T5GSLRES ; T5LPGRES ; T5KERRES ; T5CHARES ; T5OPERES ; T5DSLINDCEM ; T5GSLINDCEM ; T5NGSINDCEM ; T5COKINDCEM ; T5COAINDCEM ; T5FOIINDCEM ; T5DSLINDBAX ; T5GSLINDBAX ; T5NGSINDBAX ; T5COKINDBAX ; T5COAINDBAX ; T5FOIINDBAX ; T5DSLINDSUM ; T5GSLINDSUM ; T5NGSINDSUM ; T5COKINDSUM ; T5COAINDSUM ; T5FOIINDSUM ; T5DSLINDOTM ; T5GSLINDOTM ; T5NGSINDOTM ; T5COKINDOTM ; T5COAINDOTM ; T5FOIINDOTM ; T5DSLCON ; T5GSLCON ; T5FOICON ; T5DSLEXP ; T5JETEXP ; T5FOIEXP ; T5JETTAE ; T5DSLTMA ; T5NGSTMA ; T5LPGTMA ; T5FOITMA ; T5DSLTRO ; T5GSLTRO ; T5NGSTRO ; T5LPGTRO ; T5OPETRO ; T5FOITRO</t>
  </si>
  <si>
    <t>PPBIM ; PPBGS ; PPNGS ; PPDSL ; PPFOI ; REF_DSL ; REF_GSL ; REF_LPG ; REF_FOI ; REF_JET ; REF_OPE ; PPPVD ; PPPVDS ; PPPVT ; PPPVTS ; PPWNDON ; PPWNDONS ; PPWNDOFF ; ELE_DIST ; ELE_TRANS ; HYD_G_PROD ; HYD_DIST ; STOELE ; PPHDAM ; PPHROR ;  PPGEO ; PPPVT2 ; T5ELECOM ; T5ELERES ; T5ELEINDCEM ; T5HYDINDCEM ; T5ELEINDBAX ; T5HYDINDBAX ; T5ELEINDSUM ; T5HYDINDSUM ; T5ELEINDOTM ; T5HYDINDOTM ; T5ELECON ; T5ELETMA ; T5HYDTMA ; T5ELETRO ; T5HYDTRO</t>
  </si>
  <si>
    <t>IMP_R32</t>
  </si>
  <si>
    <t>Cal</t>
  </si>
  <si>
    <t>Lubricantes</t>
  </si>
  <si>
    <t>X_P_12</t>
  </si>
  <si>
    <t>X_P_13</t>
  </si>
  <si>
    <t>X_P_14</t>
  </si>
  <si>
    <t>Final value of VC 2050</t>
  </si>
  <si>
    <t>X_P_15</t>
  </si>
  <si>
    <t>Cost of infrastructure, materials and energy</t>
  </si>
  <si>
    <t>Cemento</t>
  </si>
  <si>
    <t>LIME</t>
  </si>
  <si>
    <t>LUBRI</t>
  </si>
  <si>
    <t>CapitalCost ; VariableCost</t>
  </si>
  <si>
    <t>CapitalCost ; FixedCost ; VariableCost</t>
  </si>
  <si>
    <t>PROD_CEM ; PROD_CLK_TRAD</t>
  </si>
  <si>
    <t>E5INDCEMCEM_PROD</t>
  </si>
  <si>
    <t>X_P_16</t>
  </si>
  <si>
    <t>X_P_8</t>
  </si>
  <si>
    <t>X_P_9</t>
  </si>
  <si>
    <t>X_P_10</t>
  </si>
  <si>
    <t>X_P_11</t>
  </si>
  <si>
    <t>Transport Demand</t>
  </si>
  <si>
    <t>Time series samples from other experiment</t>
  </si>
  <si>
    <t>Load from external file</t>
  </si>
  <si>
    <t>E5COMELE ; E5RESELE ; E5INDCEMELE ; E5INDBAXELE ; E5INDSUMELE ; E5INDOTMELE ; E5CONELE</t>
  </si>
  <si>
    <t>X_E_13</t>
  </si>
  <si>
    <t>DIST_NGS ; DIST_COK ; DIST_KER ; DIST_FIR ; DIST_CHA ; DIST_BIM ; DIST_BGS ; DIST_OPE ; EXTT_CRU ; DIST_COA ; DIST_DSL ; DIST_GSL ; DIST_LPG ; DIST_FOI ; DIST_JET ; REF_DSL ; REF_GSL ; REF_LPG ; REF_FOI ; REF_JET ; REF_OPE</t>
  </si>
  <si>
    <t>Efficiency Costs</t>
  </si>
  <si>
    <t>T5DSLINDBAX ; T5FOIINDBAX ; T5GSLINDBAX ; T5BIMINDSUM ; T5DSLINDSUM ; T5FOIINDSUM ; T5GSLINDSUM ; T5DSLINDOTM ; T5ELEINDOTM ; T5FOIINDOTM ; T5GSLINDOTM ; T5NGSINDOTM ; T5ELECOM ; T5ELERES ; T5PVRES ; T5FIRRES ; T5LPGRES</t>
  </si>
  <si>
    <t>E5TRODSL ; E5TROGSL ; E5TROFOI ; E5TROELE</t>
  </si>
  <si>
    <t>E5COMDSL ; E5COMGSL ; E5COMLPG ; E5COMFIR ; E5COMCHA ; E5COMOPE ; E5COMNGS ; E5RESDSL ; E5RESGSL ; E5RESLPG ; E5RESKER ; E5RESFIR ; E5RESCHA ; E5RESOPE ; E5INDCEMDSL ; E5INDCEMGSL ; E5INDCEMNGS ; E5INDCEMHYD ; E5INDCEMCOK ; E5INDCEMBIM ; E5INDCEMCOA ; E5INDCEMFOI ; E5INDBAXDSL ; E5INDBAXGSL ; E5INDBAXNGS ; E5INDBAXHYD ; E5INDBAXCOK ; E5INDBAXBIM ; E5INDBAXCOA ; E5INDBAXFOI ; E5INDSUMDSL ; E5INDSUMGSL ; E5INDSUMNGS ; E5INDSUMHYD ; E5INDSUMCOK ; E5INDSUMBIM ; E5INDSUMCOA ; E5INDSUMFOI ; E5INDOTMDSL ; E5INDOTMGSL ; E5INDOTMNGS ; E5INDOTMHYD ; E5INDOTMCOK ; E5INDOTMBIM ; E5INDOTMCOA ; E5INDOTMFOI ; E5CONDSL ; E5CONGSL ; E5CONFOI ; E5EXPDSL ; E5EXPJET ; E5EXPFOI ; E5TMAFOI ; E5TMADSL ; E5TAEJET</t>
  </si>
  <si>
    <t>Storage Costs</t>
  </si>
  <si>
    <t>X_E_14</t>
  </si>
  <si>
    <t>PPBIM ; PPBGS ; PPNGS ; PPDSL ; PPFOI ; PPPVD ; PPPVDS ; PPPVTS ; PPWNDONS ; PPWNDOFF ; ELE_DIST ; ELE_TRANS ; HYD_G_PROD ; HYD_DIST ; STOELE ; PPHDAM ; PPHROR ;  PPGEO</t>
  </si>
  <si>
    <t>PPPVT ; PPWNDON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</si>
</sst>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
    <numFmt numFmtId="165" formatCode="0.0"/>
  </numFmts>
  <fonts count="10" x14ac:knownFonts="1">
    <font>
      <sz val="11"/>
      <color theme="1"/>
      <name val="Calibri"/>
      <family val="2"/>
      <scheme val="minor"/>
    </font>
    <font>
      <b/>
      <sz val="11"/>
      <color theme="0"/>
      <name val="Calibri"/>
      <family val="2"/>
      <scheme val="minor"/>
    </font>
    <font>
      <b/>
      <sz val="11"/>
      <color theme="1"/>
      <name val="Calibri"/>
      <family val="2"/>
      <scheme val="minor"/>
    </font>
    <font>
      <b/>
      <sz val="9"/>
      <color indexed="81"/>
      <name val="Tahoma"/>
      <family val="2"/>
    </font>
    <font>
      <b/>
      <sz val="11"/>
      <color rgb="FFFF0000"/>
      <name val="Calibri"/>
      <family val="2"/>
      <scheme val="minor"/>
    </font>
    <font>
      <sz val="11"/>
      <color theme="0"/>
      <name val="Calibri"/>
      <family val="2"/>
      <scheme val="minor"/>
    </font>
    <font>
      <sz val="11"/>
      <color theme="1"/>
      <name val="Calibri"/>
      <family val="2"/>
    </font>
    <font>
      <i/>
      <sz val="11"/>
      <color theme="1"/>
      <name val="Calibri"/>
      <family val="2"/>
      <scheme val="minor"/>
    </font>
    <font>
      <sz val="11"/>
      <name val="Calibri"/>
      <family val="2"/>
      <scheme val="minor"/>
    </font>
    <font>
      <sz val="11"/>
      <color rgb="FF000000"/>
      <name val="Calibri"/>
      <family val="2"/>
      <scheme val="minor"/>
    </font>
  </fonts>
  <fills count="22">
    <fill>
      <patternFill patternType="none"/>
    </fill>
    <fill>
      <patternFill patternType="gray125"/>
    </fill>
    <fill>
      <patternFill patternType="solid">
        <fgColor theme="9" tint="0.39997558519241921"/>
        <bgColor indexed="64"/>
      </patternFill>
    </fill>
    <fill>
      <patternFill patternType="solid">
        <fgColor theme="1"/>
        <bgColor indexed="64"/>
      </patternFill>
    </fill>
    <fill>
      <patternFill patternType="solid">
        <fgColor theme="7"/>
        <bgColor indexed="64"/>
      </patternFill>
    </fill>
    <fill>
      <patternFill patternType="solid">
        <fgColor theme="7" tint="0.79998168889431442"/>
        <bgColor indexed="64"/>
      </patternFill>
    </fill>
    <fill>
      <patternFill patternType="solid">
        <fgColor theme="9"/>
        <bgColor indexed="64"/>
      </patternFill>
    </fill>
    <fill>
      <patternFill patternType="solid">
        <fgColor theme="9" tint="0.79998168889431442"/>
        <bgColor indexed="64"/>
      </patternFill>
    </fill>
    <fill>
      <patternFill patternType="solid">
        <fgColor theme="8"/>
        <bgColor indexed="64"/>
      </patternFill>
    </fill>
    <fill>
      <patternFill patternType="solid">
        <fgColor theme="8" tint="0.79998168889431442"/>
        <bgColor indexed="64"/>
      </patternFill>
    </fill>
    <fill>
      <patternFill patternType="solid">
        <fgColor rgb="FFFF0000"/>
        <bgColor indexed="64"/>
      </patternFill>
    </fill>
    <fill>
      <patternFill patternType="solid">
        <fgColor rgb="FF00B050"/>
        <bgColor indexed="64"/>
      </patternFill>
    </fill>
    <fill>
      <patternFill patternType="solid">
        <fgColor theme="6" tint="-0.249977111117893"/>
        <bgColor indexed="64"/>
      </patternFill>
    </fill>
    <fill>
      <patternFill patternType="solid">
        <fgColor theme="8" tint="0.39997558519241921"/>
        <bgColor indexed="64"/>
      </patternFill>
    </fill>
    <fill>
      <patternFill patternType="solid">
        <fgColor theme="7" tint="0.39997558519241921"/>
        <bgColor indexed="64"/>
      </patternFill>
    </fill>
    <fill>
      <patternFill patternType="solid">
        <fgColor theme="2"/>
        <bgColor indexed="64"/>
      </patternFill>
    </fill>
    <fill>
      <patternFill patternType="solid">
        <fgColor rgb="FFFFFF00"/>
        <bgColor indexed="64"/>
      </patternFill>
    </fill>
    <fill>
      <patternFill patternType="solid">
        <fgColor rgb="FF92D050"/>
        <bgColor indexed="64"/>
      </patternFill>
    </fill>
    <fill>
      <patternFill patternType="solid">
        <fgColor theme="5" tint="0.59999389629810485"/>
        <bgColor indexed="64"/>
      </patternFill>
    </fill>
    <fill>
      <patternFill patternType="solid">
        <fgColor rgb="FF00B0F0"/>
        <bgColor indexed="64"/>
      </patternFill>
    </fill>
    <fill>
      <patternFill patternType="solid">
        <fgColor theme="9" tint="0.59999389629810485"/>
        <bgColor indexed="64"/>
      </patternFill>
    </fill>
    <fill>
      <patternFill patternType="solid">
        <fgColor rgb="FFFFC000"/>
        <bgColor indexed="64"/>
      </patternFill>
    </fill>
  </fills>
  <borders count="39">
    <border>
      <left/>
      <right/>
      <top/>
      <bottom/>
      <diagonal/>
    </border>
    <border>
      <left/>
      <right/>
      <top style="medium">
        <color indexed="64"/>
      </top>
      <bottom/>
      <diagonal/>
    </border>
    <border>
      <left style="thin">
        <color rgb="FFCCCCCC"/>
      </left>
      <right style="thin">
        <color rgb="FFCCCCCC"/>
      </right>
      <top style="thin">
        <color rgb="FF000000"/>
      </top>
      <bottom style="thin">
        <color rgb="FF000000"/>
      </bottom>
      <diagonal/>
    </border>
    <border>
      <left style="thin">
        <color rgb="FFCCCCCC"/>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rgb="FFCCCCCC"/>
      </right>
      <top style="thin">
        <color rgb="FF000000"/>
      </top>
      <bottom style="thin">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theme="2" tint="-9.9948118533890809E-2"/>
      </bottom>
      <diagonal/>
    </border>
    <border>
      <left style="thin">
        <color indexed="64"/>
      </left>
      <right style="thin">
        <color indexed="64"/>
      </right>
      <top style="medium">
        <color indexed="64"/>
      </top>
      <bottom style="thin">
        <color theme="2" tint="-0.24994659260841701"/>
      </bottom>
      <diagonal/>
    </border>
    <border>
      <left style="thin">
        <color indexed="64"/>
      </left>
      <right style="thin">
        <color indexed="64"/>
      </right>
      <top/>
      <bottom/>
      <diagonal/>
    </border>
    <border>
      <left style="thin">
        <color indexed="64"/>
      </left>
      <right style="thin">
        <color indexed="64"/>
      </right>
      <top style="thin">
        <color theme="2" tint="-9.9948118533890809E-2"/>
      </top>
      <bottom style="thin">
        <color theme="2" tint="-9.9948118533890809E-2"/>
      </bottom>
      <diagonal/>
    </border>
    <border>
      <left style="thin">
        <color indexed="64"/>
      </left>
      <right style="thin">
        <color indexed="64"/>
      </right>
      <top style="thin">
        <color theme="2" tint="-0.24994659260841701"/>
      </top>
      <bottom style="thin">
        <color theme="2" tint="-0.24994659260841701"/>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thin">
        <color indexed="64"/>
      </right>
      <top style="thin">
        <color theme="2" tint="-9.9948118533890809E-2"/>
      </top>
      <bottom style="medium">
        <color indexed="64"/>
      </bottom>
      <diagonal/>
    </border>
    <border>
      <left style="thin">
        <color indexed="64"/>
      </left>
      <right style="thin">
        <color indexed="64"/>
      </right>
      <top style="thin">
        <color theme="2" tint="-0.24994659260841701"/>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bottom style="medium">
        <color indexed="64"/>
      </bottom>
      <diagonal/>
    </border>
    <border>
      <left style="thin">
        <color indexed="64"/>
      </left>
      <right/>
      <top style="medium">
        <color indexed="64"/>
      </top>
      <bottom style="thin">
        <color theme="2" tint="-0.24994659260841701"/>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s>
  <cellStyleXfs count="1">
    <xf numFmtId="0" fontId="0" fillId="0" borderId="0"/>
  </cellStyleXfs>
  <cellXfs count="104">
    <xf numFmtId="0" fontId="0" fillId="0" borderId="0" xfId="0"/>
    <xf numFmtId="0" fontId="0" fillId="0" borderId="1" xfId="0" applyBorder="1" applyAlignment="1">
      <alignment horizontal="center" vertical="center"/>
    </xf>
    <xf numFmtId="0" fontId="0" fillId="0" borderId="0" xfId="0" applyAlignment="1">
      <alignment horizontal="center"/>
    </xf>
    <xf numFmtId="0" fontId="6" fillId="0" borderId="2" xfId="0" applyFont="1" applyBorder="1" applyAlignment="1">
      <alignment readingOrder="1"/>
    </xf>
    <xf numFmtId="0" fontId="6" fillId="0" borderId="3" xfId="0" applyFont="1" applyBorder="1" applyAlignment="1">
      <alignment readingOrder="1"/>
    </xf>
    <xf numFmtId="0" fontId="6" fillId="0" borderId="5" xfId="0" applyFont="1" applyBorder="1" applyAlignment="1">
      <alignment readingOrder="1"/>
    </xf>
    <xf numFmtId="0" fontId="0" fillId="0" borderId="4" xfId="0" applyBorder="1" applyAlignment="1">
      <alignment horizontal="center" vertical="center"/>
    </xf>
    <xf numFmtId="0" fontId="0" fillId="0" borderId="4" xfId="0" applyBorder="1" applyAlignment="1">
      <alignment horizontal="center" vertical="center" wrapText="1"/>
    </xf>
    <xf numFmtId="0" fontId="2" fillId="6" borderId="6" xfId="0" applyFont="1" applyFill="1" applyBorder="1" applyAlignment="1">
      <alignment horizontal="center" vertical="center" wrapText="1"/>
    </xf>
    <xf numFmtId="0" fontId="2" fillId="6" borderId="7" xfId="0" applyFont="1" applyFill="1" applyBorder="1" applyAlignment="1">
      <alignment horizontal="center" vertical="center" wrapText="1"/>
    </xf>
    <xf numFmtId="0" fontId="2" fillId="2" borderId="7" xfId="0" applyFont="1" applyFill="1" applyBorder="1" applyAlignment="1">
      <alignment horizontal="center" vertical="center"/>
    </xf>
    <xf numFmtId="0" fontId="2" fillId="7" borderId="7" xfId="0" applyFont="1" applyFill="1" applyBorder="1" applyAlignment="1">
      <alignment horizontal="center" vertical="center"/>
    </xf>
    <xf numFmtId="0" fontId="1" fillId="3" borderId="7" xfId="0" applyFont="1" applyFill="1" applyBorder="1" applyAlignment="1">
      <alignment horizontal="center" vertical="center" wrapText="1"/>
    </xf>
    <xf numFmtId="0" fontId="1" fillId="12" borderId="7" xfId="0" applyFont="1" applyFill="1" applyBorder="1" applyAlignment="1">
      <alignment horizontal="center" vertical="center" wrapText="1"/>
    </xf>
    <xf numFmtId="0" fontId="2" fillId="4" borderId="7" xfId="0" applyFont="1" applyFill="1" applyBorder="1" applyAlignment="1">
      <alignment horizontal="center" vertical="center" wrapText="1"/>
    </xf>
    <xf numFmtId="0" fontId="2" fillId="14" borderId="7" xfId="0" applyFont="1" applyFill="1" applyBorder="1" applyAlignment="1">
      <alignment horizontal="center" vertical="center" wrapText="1"/>
    </xf>
    <xf numFmtId="0" fontId="2" fillId="5" borderId="7" xfId="0" applyFont="1" applyFill="1" applyBorder="1" applyAlignment="1">
      <alignment horizontal="center" vertical="center" wrapText="1"/>
    </xf>
    <xf numFmtId="0" fontId="2" fillId="10" borderId="7" xfId="0" applyFont="1" applyFill="1" applyBorder="1" applyAlignment="1">
      <alignment horizontal="center" vertical="center" wrapText="1"/>
    </xf>
    <xf numFmtId="0" fontId="2" fillId="11" borderId="7" xfId="0" applyFont="1" applyFill="1" applyBorder="1" applyAlignment="1">
      <alignment horizontal="center" vertical="center" wrapText="1"/>
    </xf>
    <xf numFmtId="0" fontId="2" fillId="8" borderId="7" xfId="0" applyFont="1" applyFill="1" applyBorder="1" applyAlignment="1">
      <alignment horizontal="center" vertical="center" wrapText="1"/>
    </xf>
    <xf numFmtId="0" fontId="2" fillId="13" borderId="7" xfId="0" applyFont="1" applyFill="1" applyBorder="1" applyAlignment="1">
      <alignment horizontal="center" vertical="center" wrapText="1"/>
    </xf>
    <xf numFmtId="0" fontId="2" fillId="9" borderId="7" xfId="0" applyFont="1" applyFill="1" applyBorder="1" applyAlignment="1">
      <alignment horizontal="center" vertical="center"/>
    </xf>
    <xf numFmtId="0" fontId="2" fillId="0" borderId="8" xfId="0" applyFont="1" applyBorder="1" applyAlignment="1">
      <alignment horizontal="center" vertical="center" wrapText="1"/>
    </xf>
    <xf numFmtId="0" fontId="0" fillId="0" borderId="10" xfId="0" applyBorder="1" applyAlignment="1">
      <alignment horizontal="center" vertical="center" wrapText="1"/>
    </xf>
    <xf numFmtId="0" fontId="0" fillId="0" borderId="12" xfId="0" applyBorder="1" applyAlignment="1">
      <alignment horizontal="center" vertical="center"/>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0" fillId="0" borderId="7" xfId="0" applyBorder="1" applyAlignment="1">
      <alignment horizontal="center" vertical="center"/>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6" fillId="0" borderId="14" xfId="0" applyFont="1" applyBorder="1" applyAlignment="1">
      <alignment horizontal="center" vertical="center" readingOrder="1"/>
    </xf>
    <xf numFmtId="0" fontId="0" fillId="0" borderId="15" xfId="0" applyBorder="1" applyAlignment="1">
      <alignment horizontal="center" vertical="center"/>
    </xf>
    <xf numFmtId="0" fontId="0" fillId="0" borderId="15" xfId="0" applyBorder="1" applyAlignment="1">
      <alignment horizontal="center" vertical="center" wrapText="1"/>
    </xf>
    <xf numFmtId="0" fontId="0" fillId="0" borderId="16" xfId="0" applyBorder="1" applyAlignment="1">
      <alignment horizontal="center" vertical="center" wrapText="1"/>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8" xfId="0" applyBorder="1" applyAlignment="1">
      <alignment horizontal="center" vertical="center" wrapText="1"/>
    </xf>
    <xf numFmtId="0" fontId="0" fillId="0" borderId="19" xfId="0" applyBorder="1" applyAlignment="1">
      <alignment horizontal="center" vertical="center" wrapText="1"/>
    </xf>
    <xf numFmtId="0" fontId="6" fillId="0" borderId="17" xfId="0" applyFont="1" applyBorder="1" applyAlignment="1">
      <alignment horizontal="center" vertical="center" readingOrder="1"/>
    </xf>
    <xf numFmtId="0" fontId="0" fillId="0" borderId="0" xfId="0" applyAlignment="1">
      <alignment horizontal="center" vertical="center"/>
    </xf>
    <xf numFmtId="0" fontId="4" fillId="0" borderId="0" xfId="0" applyFont="1" applyAlignment="1">
      <alignment horizontal="center" vertical="center"/>
    </xf>
    <xf numFmtId="0" fontId="5" fillId="10" borderId="17" xfId="0" applyFont="1" applyFill="1" applyBorder="1" applyAlignment="1">
      <alignment horizontal="center" vertical="center"/>
    </xf>
    <xf numFmtId="0" fontId="5" fillId="10" borderId="18" xfId="0" applyFont="1" applyFill="1" applyBorder="1" applyAlignment="1">
      <alignment horizontal="center" vertical="center"/>
    </xf>
    <xf numFmtId="0" fontId="0" fillId="16" borderId="18" xfId="0" applyFill="1" applyBorder="1" applyAlignment="1">
      <alignment horizontal="center" vertical="center" wrapText="1"/>
    </xf>
    <xf numFmtId="0" fontId="0" fillId="0" borderId="20" xfId="0" applyBorder="1" applyAlignment="1">
      <alignment horizontal="center" vertical="center"/>
    </xf>
    <xf numFmtId="0" fontId="0" fillId="4" borderId="21" xfId="0" applyFill="1" applyBorder="1" applyAlignment="1">
      <alignment horizontal="center" vertical="center" wrapText="1"/>
    </xf>
    <xf numFmtId="0" fontId="0" fillId="0" borderId="20" xfId="0" applyBorder="1" applyAlignment="1">
      <alignment horizontal="center" vertical="center" wrapText="1"/>
    </xf>
    <xf numFmtId="0" fontId="0" fillId="15" borderId="22" xfId="0" applyFill="1" applyBorder="1" applyAlignment="1">
      <alignment horizontal="center" vertical="center" wrapText="1"/>
    </xf>
    <xf numFmtId="0" fontId="0" fillId="0" borderId="23" xfId="0" applyBorder="1" applyAlignment="1">
      <alignment horizontal="center" vertical="center"/>
    </xf>
    <xf numFmtId="0" fontId="0" fillId="4" borderId="24" xfId="0" applyFill="1" applyBorder="1" applyAlignment="1">
      <alignment horizontal="center" vertical="center" wrapText="1"/>
    </xf>
    <xf numFmtId="0" fontId="0" fillId="0" borderId="23" xfId="0" applyBorder="1" applyAlignment="1">
      <alignment horizontal="center" vertical="center" wrapText="1"/>
    </xf>
    <xf numFmtId="0" fontId="0" fillId="15" borderId="25" xfId="0" applyFill="1" applyBorder="1" applyAlignment="1">
      <alignment horizontal="center" vertical="center" wrapText="1"/>
    </xf>
    <xf numFmtId="0" fontId="4" fillId="0" borderId="23" xfId="0" applyFont="1"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0" fontId="0" fillId="4" borderId="28" xfId="0" applyFill="1" applyBorder="1" applyAlignment="1">
      <alignment horizontal="center" vertical="center" wrapText="1"/>
    </xf>
    <xf numFmtId="0" fontId="0" fillId="15" borderId="29" xfId="0" applyFill="1" applyBorder="1" applyAlignment="1">
      <alignment horizontal="center" vertical="center" wrapText="1"/>
    </xf>
    <xf numFmtId="0" fontId="4" fillId="0" borderId="15" xfId="0" applyFont="1" applyBorder="1" applyAlignment="1">
      <alignment horizontal="center" vertical="center"/>
    </xf>
    <xf numFmtId="0" fontId="0" fillId="0" borderId="16" xfId="0" applyBorder="1" applyAlignment="1">
      <alignment horizontal="center" vertical="center"/>
    </xf>
    <xf numFmtId="0" fontId="0" fillId="16" borderId="15" xfId="0" applyFill="1" applyBorder="1" applyAlignment="1">
      <alignment horizontal="center" vertical="center" wrapText="1"/>
    </xf>
    <xf numFmtId="0" fontId="0" fillId="17" borderId="18" xfId="0" applyFill="1" applyBorder="1" applyAlignment="1">
      <alignment horizontal="center" vertical="center" wrapText="1"/>
    </xf>
    <xf numFmtId="0" fontId="0" fillId="17" borderId="15" xfId="0" applyFill="1" applyBorder="1" applyAlignment="1">
      <alignment horizontal="center" vertical="center" wrapText="1"/>
    </xf>
    <xf numFmtId="0" fontId="0" fillId="17" borderId="20" xfId="0" applyFill="1" applyBorder="1" applyAlignment="1">
      <alignment horizontal="center" vertical="center"/>
    </xf>
    <xf numFmtId="0" fontId="0" fillId="17" borderId="23" xfId="0" applyFill="1" applyBorder="1" applyAlignment="1">
      <alignment horizontal="center" vertical="center"/>
    </xf>
    <xf numFmtId="0" fontId="0" fillId="17" borderId="15" xfId="0" applyFill="1" applyBorder="1" applyAlignment="1">
      <alignment horizontal="center" vertical="center"/>
    </xf>
    <xf numFmtId="0" fontId="0" fillId="17" borderId="7" xfId="0" applyFill="1" applyBorder="1" applyAlignment="1">
      <alignment horizontal="center" vertical="center" wrapText="1"/>
    </xf>
    <xf numFmtId="0" fontId="0" fillId="17" borderId="4" xfId="0" applyFill="1" applyBorder="1" applyAlignment="1">
      <alignment horizontal="center" vertical="center" wrapText="1"/>
    </xf>
    <xf numFmtId="0" fontId="0" fillId="17" borderId="12" xfId="0" applyFill="1" applyBorder="1" applyAlignment="1">
      <alignment horizontal="center" vertical="center" wrapText="1"/>
    </xf>
    <xf numFmtId="0" fontId="0" fillId="18" borderId="18" xfId="0" applyFill="1" applyBorder="1" applyAlignment="1">
      <alignment horizontal="center" vertical="center" wrapText="1"/>
    </xf>
    <xf numFmtId="0" fontId="6" fillId="19" borderId="6" xfId="0" applyFont="1" applyFill="1" applyBorder="1" applyAlignment="1">
      <alignment horizontal="center" vertical="center" readingOrder="1"/>
    </xf>
    <xf numFmtId="0" fontId="6" fillId="19" borderId="9" xfId="0" applyFont="1" applyFill="1" applyBorder="1" applyAlignment="1">
      <alignment horizontal="center" vertical="center" readingOrder="1"/>
    </xf>
    <xf numFmtId="0" fontId="0" fillId="19" borderId="11" xfId="0" applyFill="1" applyBorder="1" applyAlignment="1">
      <alignment horizontal="center" vertical="center"/>
    </xf>
    <xf numFmtId="0" fontId="0" fillId="0" borderId="14" xfId="0" applyBorder="1" applyAlignment="1">
      <alignment horizontal="center" vertical="center"/>
    </xf>
    <xf numFmtId="164" fontId="0" fillId="0" borderId="18" xfId="0" applyNumberFormat="1" applyBorder="1" applyAlignment="1">
      <alignment horizontal="center" vertical="center" wrapText="1"/>
    </xf>
    <xf numFmtId="0" fontId="0" fillId="20" borderId="20" xfId="0" applyFill="1" applyBorder="1" applyAlignment="1">
      <alignment horizontal="center" vertical="center"/>
    </xf>
    <xf numFmtId="0" fontId="0" fillId="20" borderId="23" xfId="0" applyFill="1" applyBorder="1" applyAlignment="1">
      <alignment horizontal="center" vertical="center"/>
    </xf>
    <xf numFmtId="0" fontId="0" fillId="20" borderId="15" xfId="0" applyFill="1" applyBorder="1" applyAlignment="1">
      <alignment horizontal="center" vertical="center"/>
    </xf>
    <xf numFmtId="0" fontId="0" fillId="20" borderId="7" xfId="0" applyFill="1" applyBorder="1" applyAlignment="1">
      <alignment horizontal="center" vertical="center" wrapText="1"/>
    </xf>
    <xf numFmtId="0" fontId="0" fillId="20" borderId="12" xfId="0" applyFill="1" applyBorder="1" applyAlignment="1">
      <alignment horizontal="center" vertical="center" wrapText="1"/>
    </xf>
    <xf numFmtId="0" fontId="0" fillId="16" borderId="17" xfId="0" applyFill="1" applyBorder="1" applyAlignment="1">
      <alignment horizontal="center" vertical="center" wrapText="1"/>
    </xf>
    <xf numFmtId="0" fontId="0" fillId="0" borderId="30" xfId="0" applyBorder="1" applyAlignment="1">
      <alignment horizontal="center" vertical="center" wrapText="1"/>
    </xf>
    <xf numFmtId="0" fontId="0" fillId="0" borderId="31" xfId="0" applyBorder="1" applyAlignment="1">
      <alignment horizontal="center" vertical="center" wrapText="1"/>
    </xf>
    <xf numFmtId="0" fontId="0" fillId="0" borderId="32" xfId="0" applyBorder="1" applyAlignment="1">
      <alignment horizontal="center" vertical="center" wrapText="1"/>
    </xf>
    <xf numFmtId="0" fontId="0" fillId="15" borderId="31" xfId="0" applyFill="1" applyBorder="1" applyAlignment="1">
      <alignment horizontal="center" vertical="center" wrapText="1"/>
    </xf>
    <xf numFmtId="0" fontId="0" fillId="15" borderId="34" xfId="0" applyFill="1" applyBorder="1" applyAlignment="1">
      <alignment horizontal="center" vertical="center" wrapText="1"/>
    </xf>
    <xf numFmtId="0" fontId="0" fillId="16" borderId="33" xfId="0" applyFill="1" applyBorder="1" applyAlignment="1">
      <alignment horizontal="center" vertical="center" wrapText="1"/>
    </xf>
    <xf numFmtId="0" fontId="0" fillId="19" borderId="17" xfId="0" applyFill="1" applyBorder="1" applyAlignment="1">
      <alignment horizontal="center" vertical="center" wrapText="1"/>
    </xf>
    <xf numFmtId="0" fontId="0" fillId="21" borderId="18" xfId="0" applyFill="1" applyBorder="1" applyAlignment="1">
      <alignment horizontal="center" vertical="center" wrapText="1"/>
    </xf>
    <xf numFmtId="0" fontId="0" fillId="17" borderId="33" xfId="0" applyFill="1" applyBorder="1" applyAlignment="1">
      <alignment horizontal="center" vertical="center" wrapText="1"/>
    </xf>
    <xf numFmtId="165" fontId="0" fillId="0" borderId="18" xfId="0" applyNumberFormat="1" applyBorder="1" applyAlignment="1">
      <alignment horizontal="center" vertical="center" wrapText="1"/>
    </xf>
    <xf numFmtId="0" fontId="0" fillId="0" borderId="33" xfId="0" applyBorder="1" applyAlignment="1">
      <alignment horizontal="center" vertical="center" wrapText="1"/>
    </xf>
    <xf numFmtId="0" fontId="0" fillId="16" borderId="35" xfId="0" applyFill="1" applyBorder="1" applyAlignment="1">
      <alignment horizontal="center" vertical="center" wrapText="1"/>
    </xf>
    <xf numFmtId="0" fontId="0" fillId="0" borderId="36" xfId="0" applyBorder="1" applyAlignment="1">
      <alignment horizontal="center" vertical="center" wrapText="1"/>
    </xf>
    <xf numFmtId="0" fontId="0" fillId="0" borderId="37" xfId="0" applyBorder="1" applyAlignment="1">
      <alignment horizontal="center" vertical="center" wrapText="1"/>
    </xf>
    <xf numFmtId="0" fontId="0" fillId="0" borderId="38" xfId="0" applyBorder="1" applyAlignment="1">
      <alignment horizontal="center" vertical="center" wrapText="1"/>
    </xf>
    <xf numFmtId="0" fontId="0" fillId="0" borderId="26" xfId="0" applyBorder="1" applyAlignment="1">
      <alignment horizontal="center" vertical="center" wrapText="1"/>
    </xf>
    <xf numFmtId="0" fontId="0" fillId="0" borderId="31" xfId="0" applyBorder="1" applyAlignment="1">
      <alignment horizontal="center" vertical="center"/>
    </xf>
    <xf numFmtId="0" fontId="8" fillId="0" borderId="18" xfId="0" applyFont="1" applyBorder="1" applyAlignment="1">
      <alignment horizontal="center" vertical="center" wrapText="1"/>
    </xf>
    <xf numFmtId="0" fontId="9" fillId="0" borderId="18" xfId="0" applyFont="1" applyBorder="1" applyAlignment="1">
      <alignment horizontal="center" vertical="center" readingOrder="1"/>
    </xf>
    <xf numFmtId="0" fontId="0" fillId="0" borderId="30" xfId="0" applyBorder="1" applyAlignment="1">
      <alignment horizontal="center" vertical="center"/>
    </xf>
    <xf numFmtId="0" fontId="0" fillId="0" borderId="32" xfId="0" applyBorder="1" applyAlignment="1">
      <alignment horizontal="center" vertical="center"/>
    </xf>
    <xf numFmtId="0" fontId="0" fillId="0" borderId="17" xfId="0" applyBorder="1" applyAlignment="1">
      <alignment horizontal="center" vertical="center" wrapText="1"/>
    </xf>
    <xf numFmtId="165" fontId="0" fillId="11" borderId="18" xfId="0" applyNumberFormat="1" applyFill="1" applyBorder="1" applyAlignment="1">
      <alignment horizontal="center" vertical="center" wrapText="1"/>
    </xf>
    <xf numFmtId="0" fontId="0" fillId="11" borderId="18" xfId="0"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CBD4C-C1C2-4CD5-A749-DD686BEA69C9}">
  <dimension ref="A1:Q36"/>
  <sheetViews>
    <sheetView tabSelected="1" zoomScale="85" zoomScaleNormal="85" workbookViewId="0">
      <pane xSplit="3" ySplit="1" topLeftCell="D2" activePane="bottomRight" state="frozen"/>
      <selection pane="topRight" activeCell="D1" sqref="D1"/>
      <selection pane="bottomLeft" activeCell="A2" sqref="A2"/>
      <selection pane="bottomRight" activeCell="A3" sqref="A3"/>
    </sheetView>
  </sheetViews>
  <sheetFormatPr defaultColWidth="8.6640625" defaultRowHeight="14.4" x14ac:dyDescent="0.3"/>
  <cols>
    <col min="1" max="1" width="10.109375" style="2" customWidth="1"/>
    <col min="2" max="2" width="14.33203125" style="2" customWidth="1"/>
    <col min="3" max="3" width="40.109375" style="2" customWidth="1"/>
    <col min="4" max="4" width="43" style="2" customWidth="1"/>
    <col min="5" max="5" width="16.33203125" style="2" customWidth="1"/>
    <col min="6" max="6" width="28.88671875" style="2" bestFit="1" customWidth="1"/>
    <col min="7" max="8" width="23.33203125" style="2" customWidth="1"/>
    <col min="9" max="10" width="20" style="2" customWidth="1"/>
    <col min="11" max="11" width="21.6640625" style="2" customWidth="1"/>
    <col min="12" max="12" width="8.33203125" style="2" customWidth="1"/>
    <col min="13" max="13" width="13.33203125" style="2" customWidth="1"/>
    <col min="14" max="14" width="95" style="2" customWidth="1"/>
    <col min="15" max="15" width="40.88671875" style="2" customWidth="1"/>
    <col min="16" max="16" width="79.33203125" style="2" customWidth="1"/>
    <col min="17" max="17" width="48.88671875" style="2" customWidth="1"/>
    <col min="18" max="16384" width="8.6640625" style="2"/>
  </cols>
  <sheetData>
    <row r="1" spans="1:17" ht="45.75" customHeight="1" thickBot="1" x14ac:dyDescent="0.35">
      <c r="A1" s="8" t="s">
        <v>0</v>
      </c>
      <c r="B1" s="9" t="s">
        <v>1</v>
      </c>
      <c r="C1" s="10" t="s">
        <v>2</v>
      </c>
      <c r="D1" s="11" t="s">
        <v>3</v>
      </c>
      <c r="E1" s="12" t="s">
        <v>4</v>
      </c>
      <c r="F1" s="13" t="s">
        <v>5</v>
      </c>
      <c r="G1" s="14" t="s">
        <v>6</v>
      </c>
      <c r="H1" s="15" t="s">
        <v>7</v>
      </c>
      <c r="I1" s="16" t="s">
        <v>8</v>
      </c>
      <c r="J1" s="13" t="s">
        <v>9</v>
      </c>
      <c r="K1" s="12" t="s">
        <v>10</v>
      </c>
      <c r="L1" s="17" t="s">
        <v>11</v>
      </c>
      <c r="M1" s="18" t="s">
        <v>12</v>
      </c>
      <c r="N1" s="19" t="s">
        <v>13</v>
      </c>
      <c r="O1" s="20" t="s">
        <v>14</v>
      </c>
      <c r="P1" s="21" t="s">
        <v>15</v>
      </c>
      <c r="Q1" s="22" t="s">
        <v>16</v>
      </c>
    </row>
    <row r="2" spans="1:17" customFormat="1" ht="15" thickBot="1" x14ac:dyDescent="0.35">
      <c r="A2" s="38">
        <v>1</v>
      </c>
      <c r="B2" s="35" t="s">
        <v>21</v>
      </c>
      <c r="C2" s="36" t="s">
        <v>77</v>
      </c>
      <c r="D2" s="36" t="s">
        <v>78</v>
      </c>
      <c r="E2" s="36" t="s">
        <v>17</v>
      </c>
      <c r="F2" s="36" t="s">
        <v>156</v>
      </c>
      <c r="G2" s="36" t="s">
        <v>79</v>
      </c>
      <c r="H2" s="36" t="s">
        <v>79</v>
      </c>
      <c r="I2" s="36" t="s">
        <v>80</v>
      </c>
      <c r="J2" s="36">
        <v>1</v>
      </c>
      <c r="K2" s="36" t="s">
        <v>17</v>
      </c>
      <c r="L2" s="73">
        <v>3.4999899999999999</v>
      </c>
      <c r="M2" s="36">
        <v>3.5000100000000001</v>
      </c>
      <c r="N2" s="36" t="s">
        <v>51</v>
      </c>
      <c r="O2" s="36" t="s">
        <v>51</v>
      </c>
      <c r="P2" s="36" t="s">
        <v>81</v>
      </c>
      <c r="Q2" s="37" t="s">
        <v>109</v>
      </c>
    </row>
    <row r="3" spans="1:17" ht="139.80000000000001" customHeight="1" thickBot="1" x14ac:dyDescent="0.35">
      <c r="A3" s="34">
        <v>2</v>
      </c>
      <c r="B3" s="35" t="s">
        <v>26</v>
      </c>
      <c r="C3" s="36" t="s">
        <v>32</v>
      </c>
      <c r="D3" s="36" t="s">
        <v>33</v>
      </c>
      <c r="E3" s="36" t="s">
        <v>17</v>
      </c>
      <c r="F3" s="36" t="s">
        <v>156</v>
      </c>
      <c r="G3" s="36" t="s">
        <v>22</v>
      </c>
      <c r="H3" s="36" t="s">
        <v>23</v>
      </c>
      <c r="I3" s="36" t="s">
        <v>24</v>
      </c>
      <c r="J3" s="36">
        <v>2</v>
      </c>
      <c r="K3" s="36" t="s">
        <v>17</v>
      </c>
      <c r="L3" s="89">
        <v>0.5</v>
      </c>
      <c r="M3" s="36">
        <v>1.5</v>
      </c>
      <c r="N3" s="36" t="s">
        <v>190</v>
      </c>
      <c r="O3" s="36" t="s">
        <v>176</v>
      </c>
      <c r="P3" s="36" t="s">
        <v>25</v>
      </c>
      <c r="Q3" s="37" t="s">
        <v>109</v>
      </c>
    </row>
    <row r="4" spans="1:17" ht="139.80000000000001" customHeight="1" thickBot="1" x14ac:dyDescent="0.35">
      <c r="A4" s="34">
        <v>3</v>
      </c>
      <c r="B4" s="35" t="s">
        <v>27</v>
      </c>
      <c r="C4" s="36" t="s">
        <v>35</v>
      </c>
      <c r="D4" s="36" t="s">
        <v>36</v>
      </c>
      <c r="E4" s="36" t="s">
        <v>17</v>
      </c>
      <c r="F4" s="36" t="s">
        <v>156</v>
      </c>
      <c r="G4" s="36" t="s">
        <v>22</v>
      </c>
      <c r="H4" s="36" t="s">
        <v>23</v>
      </c>
      <c r="I4" s="36" t="s">
        <v>24</v>
      </c>
      <c r="J4" s="36">
        <v>3</v>
      </c>
      <c r="K4" s="36" t="s">
        <v>17</v>
      </c>
      <c r="L4" s="89">
        <v>0.5</v>
      </c>
      <c r="M4" s="89">
        <v>1.5</v>
      </c>
      <c r="N4" s="36" t="s">
        <v>197</v>
      </c>
      <c r="O4" s="36" t="s">
        <v>42</v>
      </c>
      <c r="P4" s="36" t="s">
        <v>25</v>
      </c>
      <c r="Q4" s="37" t="s">
        <v>109</v>
      </c>
    </row>
    <row r="5" spans="1:17" ht="69.599999999999994" customHeight="1" thickBot="1" x14ac:dyDescent="0.35">
      <c r="A5" s="34">
        <v>4</v>
      </c>
      <c r="B5" s="35" t="s">
        <v>29</v>
      </c>
      <c r="C5" s="36" t="s">
        <v>195</v>
      </c>
      <c r="D5" s="36" t="s">
        <v>36</v>
      </c>
      <c r="E5" s="36" t="s">
        <v>17</v>
      </c>
      <c r="F5" s="36" t="s">
        <v>156</v>
      </c>
      <c r="G5" s="36" t="s">
        <v>22</v>
      </c>
      <c r="H5" s="36" t="s">
        <v>23</v>
      </c>
      <c r="I5" s="36" t="s">
        <v>24</v>
      </c>
      <c r="J5" s="36">
        <v>4</v>
      </c>
      <c r="K5" s="36" t="s">
        <v>17</v>
      </c>
      <c r="L5" s="102">
        <v>0.5</v>
      </c>
      <c r="M5" s="102">
        <v>1.5</v>
      </c>
      <c r="N5" s="103" t="s">
        <v>198</v>
      </c>
      <c r="O5" s="36" t="s">
        <v>42</v>
      </c>
      <c r="P5" s="36" t="s">
        <v>25</v>
      </c>
      <c r="Q5" s="37" t="s">
        <v>109</v>
      </c>
    </row>
    <row r="6" spans="1:17" ht="69.599999999999994" customHeight="1" thickBot="1" x14ac:dyDescent="0.35">
      <c r="A6" s="34">
        <v>5</v>
      </c>
      <c r="B6" s="35" t="s">
        <v>31</v>
      </c>
      <c r="C6" s="36" t="s">
        <v>191</v>
      </c>
      <c r="D6" s="36" t="s">
        <v>191</v>
      </c>
      <c r="E6" s="36" t="s">
        <v>17</v>
      </c>
      <c r="F6" s="36" t="s">
        <v>156</v>
      </c>
      <c r="G6" s="36" t="s">
        <v>22</v>
      </c>
      <c r="H6" s="36" t="s">
        <v>23</v>
      </c>
      <c r="I6" s="36" t="s">
        <v>24</v>
      </c>
      <c r="J6" s="36">
        <v>5</v>
      </c>
      <c r="K6" s="36" t="s">
        <v>17</v>
      </c>
      <c r="L6" s="89">
        <v>0.5</v>
      </c>
      <c r="M6" s="89">
        <v>1.5</v>
      </c>
      <c r="N6" s="36" t="s">
        <v>192</v>
      </c>
      <c r="O6" s="36" t="s">
        <v>42</v>
      </c>
      <c r="P6" s="36" t="s">
        <v>25</v>
      </c>
      <c r="Q6" s="37" t="s">
        <v>109</v>
      </c>
    </row>
    <row r="7" spans="1:17" ht="29.4" thickBot="1" x14ac:dyDescent="0.35">
      <c r="A7" s="101">
        <v>6</v>
      </c>
      <c r="B7" s="36" t="s">
        <v>34</v>
      </c>
      <c r="C7" s="36" t="s">
        <v>38</v>
      </c>
      <c r="D7" s="36" t="s">
        <v>93</v>
      </c>
      <c r="E7" s="36" t="s">
        <v>17</v>
      </c>
      <c r="F7" s="36" t="s">
        <v>156</v>
      </c>
      <c r="G7" s="36" t="s">
        <v>22</v>
      </c>
      <c r="H7" s="36" t="s">
        <v>23</v>
      </c>
      <c r="I7" s="36" t="s">
        <v>24</v>
      </c>
      <c r="J7" s="81">
        <v>6</v>
      </c>
      <c r="K7" s="36" t="s">
        <v>17</v>
      </c>
      <c r="L7" s="89">
        <v>0.7</v>
      </c>
      <c r="M7" s="89">
        <v>1</v>
      </c>
      <c r="N7" s="36" t="s">
        <v>113</v>
      </c>
      <c r="O7" s="36" t="s">
        <v>20</v>
      </c>
      <c r="P7" s="36" t="s">
        <v>25</v>
      </c>
      <c r="Q7" s="37" t="s">
        <v>109</v>
      </c>
    </row>
    <row r="8" spans="1:17" ht="145.80000000000001" customHeight="1" thickBot="1" x14ac:dyDescent="0.35">
      <c r="A8" s="30">
        <v>7</v>
      </c>
      <c r="B8" s="36" t="s">
        <v>37</v>
      </c>
      <c r="C8" s="36" t="s">
        <v>148</v>
      </c>
      <c r="D8" s="36" t="s">
        <v>150</v>
      </c>
      <c r="E8" s="36" t="s">
        <v>17</v>
      </c>
      <c r="F8" s="36" t="s">
        <v>156</v>
      </c>
      <c r="G8" s="36" t="s">
        <v>22</v>
      </c>
      <c r="H8" s="36" t="s">
        <v>23</v>
      </c>
      <c r="I8" s="80" t="s">
        <v>24</v>
      </c>
      <c r="J8" s="81">
        <v>7</v>
      </c>
      <c r="K8" s="82" t="s">
        <v>17</v>
      </c>
      <c r="L8" s="36">
        <v>0.5</v>
      </c>
      <c r="M8" s="36">
        <v>1.5</v>
      </c>
      <c r="N8" s="36" t="s">
        <v>194</v>
      </c>
      <c r="O8" s="36" t="s">
        <v>19</v>
      </c>
      <c r="P8" s="36" t="s">
        <v>84</v>
      </c>
      <c r="Q8" s="37" t="s">
        <v>109</v>
      </c>
    </row>
    <row r="9" spans="1:17" ht="31.8" customHeight="1" thickBot="1" x14ac:dyDescent="0.35">
      <c r="A9" s="34">
        <v>8</v>
      </c>
      <c r="B9" s="35" t="s">
        <v>181</v>
      </c>
      <c r="C9" s="36" t="s">
        <v>142</v>
      </c>
      <c r="D9" s="36" t="s">
        <v>143</v>
      </c>
      <c r="E9" s="36" t="s">
        <v>17</v>
      </c>
      <c r="F9" s="36" t="s">
        <v>156</v>
      </c>
      <c r="G9" s="36" t="s">
        <v>22</v>
      </c>
      <c r="H9" s="36" t="s">
        <v>23</v>
      </c>
      <c r="I9" s="80" t="s">
        <v>24</v>
      </c>
      <c r="J9" s="96">
        <v>8</v>
      </c>
      <c r="K9" s="82" t="s">
        <v>17</v>
      </c>
      <c r="L9" s="36">
        <v>0.5</v>
      </c>
      <c r="M9" s="36">
        <v>1.5</v>
      </c>
      <c r="N9" s="36" t="s">
        <v>188</v>
      </c>
      <c r="O9" s="36" t="s">
        <v>19</v>
      </c>
      <c r="P9" s="36" t="s">
        <v>84</v>
      </c>
      <c r="Q9" s="37" t="s">
        <v>109</v>
      </c>
    </row>
    <row r="10" spans="1:17" ht="29.4" thickBot="1" x14ac:dyDescent="0.35">
      <c r="A10" s="34">
        <v>9</v>
      </c>
      <c r="B10" s="35" t="s">
        <v>182</v>
      </c>
      <c r="C10" s="35" t="s">
        <v>173</v>
      </c>
      <c r="D10" s="35" t="s">
        <v>173</v>
      </c>
      <c r="E10" s="36" t="s">
        <v>17</v>
      </c>
      <c r="F10" s="36" t="s">
        <v>156</v>
      </c>
      <c r="G10" s="36" t="s">
        <v>22</v>
      </c>
      <c r="H10" s="36" t="s">
        <v>23</v>
      </c>
      <c r="I10" s="80" t="s">
        <v>24</v>
      </c>
      <c r="J10" s="96">
        <v>9</v>
      </c>
      <c r="K10" s="94" t="s">
        <v>17</v>
      </c>
      <c r="L10" s="36">
        <v>0.5</v>
      </c>
      <c r="M10" s="36">
        <v>1.5</v>
      </c>
      <c r="N10" s="35" t="s">
        <v>179</v>
      </c>
      <c r="O10" s="35" t="s">
        <v>19</v>
      </c>
      <c r="P10" s="36" t="s">
        <v>25</v>
      </c>
      <c r="Q10" s="37" t="s">
        <v>109</v>
      </c>
    </row>
    <row r="11" spans="1:17" ht="29.4" thickBot="1" x14ac:dyDescent="0.35">
      <c r="A11" s="34">
        <v>10</v>
      </c>
      <c r="B11" s="35" t="s">
        <v>183</v>
      </c>
      <c r="C11" s="35" t="s">
        <v>159</v>
      </c>
      <c r="D11" s="35" t="s">
        <v>159</v>
      </c>
      <c r="E11" s="36" t="s">
        <v>17</v>
      </c>
      <c r="F11" s="36" t="s">
        <v>156</v>
      </c>
      <c r="G11" s="36" t="s">
        <v>22</v>
      </c>
      <c r="H11" s="36" t="s">
        <v>23</v>
      </c>
      <c r="I11" s="80" t="s">
        <v>24</v>
      </c>
      <c r="J11" s="96">
        <v>10</v>
      </c>
      <c r="K11" s="94" t="s">
        <v>17</v>
      </c>
      <c r="L11" s="36">
        <v>0.5</v>
      </c>
      <c r="M11" s="36">
        <v>1.5</v>
      </c>
      <c r="N11" s="35" t="s">
        <v>164</v>
      </c>
      <c r="O11" s="36" t="s">
        <v>133</v>
      </c>
      <c r="P11" s="36" t="s">
        <v>25</v>
      </c>
      <c r="Q11" s="37" t="s">
        <v>109</v>
      </c>
    </row>
    <row r="12" spans="1:17" ht="29.4" thickBot="1" x14ac:dyDescent="0.35">
      <c r="A12" s="34">
        <v>11</v>
      </c>
      <c r="B12" s="35" t="s">
        <v>184</v>
      </c>
      <c r="C12" s="35" t="s">
        <v>165</v>
      </c>
      <c r="D12" s="35" t="s">
        <v>165</v>
      </c>
      <c r="E12" s="36" t="s">
        <v>17</v>
      </c>
      <c r="F12" s="36" t="s">
        <v>156</v>
      </c>
      <c r="G12" s="36" t="s">
        <v>22</v>
      </c>
      <c r="H12" s="36" t="s">
        <v>23</v>
      </c>
      <c r="I12" s="80" t="s">
        <v>24</v>
      </c>
      <c r="J12" s="96">
        <v>11</v>
      </c>
      <c r="K12" s="94" t="s">
        <v>17</v>
      </c>
      <c r="L12" s="36">
        <v>0.5</v>
      </c>
      <c r="M12" s="36">
        <v>1.5</v>
      </c>
      <c r="N12" s="35" t="s">
        <v>174</v>
      </c>
      <c r="O12" s="36" t="s">
        <v>133</v>
      </c>
      <c r="P12" s="36" t="s">
        <v>25</v>
      </c>
      <c r="Q12" s="37" t="s">
        <v>109</v>
      </c>
    </row>
    <row r="13" spans="1:17" ht="29.4" thickBot="1" x14ac:dyDescent="0.35">
      <c r="A13" s="34">
        <v>12</v>
      </c>
      <c r="B13" s="97" t="s">
        <v>167</v>
      </c>
      <c r="C13" s="35" t="s">
        <v>166</v>
      </c>
      <c r="D13" s="35" t="s">
        <v>166</v>
      </c>
      <c r="E13" s="36" t="s">
        <v>17</v>
      </c>
      <c r="F13" s="36" t="s">
        <v>156</v>
      </c>
      <c r="G13" s="36" t="s">
        <v>22</v>
      </c>
      <c r="H13" s="36" t="s">
        <v>23</v>
      </c>
      <c r="I13" s="80" t="s">
        <v>24</v>
      </c>
      <c r="J13" s="96">
        <v>12</v>
      </c>
      <c r="K13" s="82" t="s">
        <v>17</v>
      </c>
      <c r="L13" s="36">
        <v>0.5</v>
      </c>
      <c r="M13" s="36">
        <v>1.5</v>
      </c>
      <c r="N13" s="35" t="s">
        <v>175</v>
      </c>
      <c r="O13" s="36" t="s">
        <v>133</v>
      </c>
      <c r="P13" s="36" t="s">
        <v>25</v>
      </c>
      <c r="Q13" s="37" t="s">
        <v>109</v>
      </c>
    </row>
    <row r="14" spans="1:17" ht="29.4" thickBot="1" x14ac:dyDescent="0.35">
      <c r="A14" s="101">
        <v>13</v>
      </c>
      <c r="B14" s="36" t="s">
        <v>189</v>
      </c>
      <c r="C14" s="98" t="s">
        <v>172</v>
      </c>
      <c r="D14" s="35" t="s">
        <v>170</v>
      </c>
      <c r="E14" s="35" t="s">
        <v>17</v>
      </c>
      <c r="F14" s="97" t="s">
        <v>156</v>
      </c>
      <c r="G14" s="35" t="s">
        <v>22</v>
      </c>
      <c r="H14" s="35" t="s">
        <v>23</v>
      </c>
      <c r="I14" s="99" t="s">
        <v>24</v>
      </c>
      <c r="J14" s="81">
        <v>13</v>
      </c>
      <c r="K14" s="100" t="s">
        <v>17</v>
      </c>
      <c r="L14" s="35">
        <v>0.5</v>
      </c>
      <c r="M14" s="35">
        <v>1.5</v>
      </c>
      <c r="N14" s="36" t="s">
        <v>178</v>
      </c>
      <c r="O14" s="98" t="s">
        <v>177</v>
      </c>
      <c r="P14" s="36" t="s">
        <v>25</v>
      </c>
      <c r="Q14" s="37" t="s">
        <v>109</v>
      </c>
    </row>
    <row r="15" spans="1:17" ht="15" thickBot="1" x14ac:dyDescent="0.35">
      <c r="A15" s="101">
        <v>14</v>
      </c>
      <c r="B15" s="36" t="s">
        <v>196</v>
      </c>
      <c r="C15" s="36" t="s">
        <v>185</v>
      </c>
      <c r="D15" s="36" t="s">
        <v>186</v>
      </c>
      <c r="E15" s="36" t="s">
        <v>17</v>
      </c>
      <c r="F15" s="36" t="s">
        <v>156</v>
      </c>
      <c r="G15" s="36" t="s">
        <v>22</v>
      </c>
      <c r="H15" s="36" t="s">
        <v>23</v>
      </c>
      <c r="I15" s="80" t="s">
        <v>24</v>
      </c>
      <c r="J15" s="81">
        <v>14</v>
      </c>
      <c r="K15" s="82" t="s">
        <v>17</v>
      </c>
      <c r="L15" s="36">
        <v>1</v>
      </c>
      <c r="M15" s="36">
        <v>1</v>
      </c>
      <c r="N15" s="36" t="s">
        <v>193</v>
      </c>
      <c r="O15" s="36" t="s">
        <v>19</v>
      </c>
      <c r="P15" s="36" t="s">
        <v>187</v>
      </c>
      <c r="Q15" s="37" t="s">
        <v>109</v>
      </c>
    </row>
    <row r="17" spans="14:14" x14ac:dyDescent="0.3">
      <c r="N17"/>
    </row>
    <row r="18" spans="14:14" x14ac:dyDescent="0.3">
      <c r="N18"/>
    </row>
    <row r="19" spans="14:14" x14ac:dyDescent="0.3">
      <c r="N19"/>
    </row>
    <row r="20" spans="14:14" x14ac:dyDescent="0.3">
      <c r="N20"/>
    </row>
    <row r="21" spans="14:14" x14ac:dyDescent="0.3">
      <c r="N21"/>
    </row>
    <row r="22" spans="14:14" x14ac:dyDescent="0.3">
      <c r="N22"/>
    </row>
    <row r="23" spans="14:14" x14ac:dyDescent="0.3">
      <c r="N23"/>
    </row>
    <row r="24" spans="14:14" x14ac:dyDescent="0.3">
      <c r="N24"/>
    </row>
    <row r="25" spans="14:14" x14ac:dyDescent="0.3">
      <c r="N25"/>
    </row>
    <row r="26" spans="14:14" x14ac:dyDescent="0.3">
      <c r="N26"/>
    </row>
    <row r="27" spans="14:14" x14ac:dyDescent="0.3">
      <c r="N27"/>
    </row>
    <row r="28" spans="14:14" x14ac:dyDescent="0.3">
      <c r="N28"/>
    </row>
    <row r="29" spans="14:14" x14ac:dyDescent="0.3">
      <c r="N29"/>
    </row>
    <row r="30" spans="14:14" x14ac:dyDescent="0.3">
      <c r="N30"/>
    </row>
    <row r="31" spans="14:14" x14ac:dyDescent="0.3">
      <c r="N31"/>
    </row>
    <row r="32" spans="14:14" x14ac:dyDescent="0.3">
      <c r="N32"/>
    </row>
    <row r="33" spans="14:14" x14ac:dyDescent="0.3">
      <c r="N33"/>
    </row>
    <row r="34" spans="14:14" x14ac:dyDescent="0.3">
      <c r="N34"/>
    </row>
    <row r="35" spans="14:14" x14ac:dyDescent="0.3">
      <c r="N35"/>
    </row>
    <row r="36" spans="14:14" x14ac:dyDescent="0.3">
      <c r="N36"/>
    </row>
  </sheetData>
  <pageMargins left="0.7" right="0.7" top="0.75" bottom="0.75" header="0.3" footer="0.3"/>
  <pageSetup orientation="portrait"/>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57C61-1EEB-4B18-B5B6-7797A6D8AD7A}">
  <dimension ref="A1:Q38"/>
  <sheetViews>
    <sheetView zoomScale="85" zoomScaleNormal="85" workbookViewId="0">
      <pane xSplit="3" ySplit="1" topLeftCell="D2" activePane="bottomRight" state="frozen"/>
      <selection pane="topRight" activeCell="D1" sqref="D1"/>
      <selection pane="bottomLeft" activeCell="A2" sqref="A2"/>
      <selection pane="bottomRight" activeCell="J3" sqref="J3"/>
    </sheetView>
  </sheetViews>
  <sheetFormatPr defaultColWidth="8.6640625" defaultRowHeight="14.4" x14ac:dyDescent="0.3"/>
  <cols>
    <col min="1" max="1" width="10.109375" style="2" customWidth="1"/>
    <col min="2" max="2" width="14.33203125" style="2" customWidth="1"/>
    <col min="3" max="3" width="40.109375" style="2" customWidth="1"/>
    <col min="4" max="4" width="43" style="2" customWidth="1"/>
    <col min="5" max="5" width="16.33203125" style="2" customWidth="1"/>
    <col min="6" max="6" width="28.88671875" style="2" bestFit="1" customWidth="1"/>
    <col min="7" max="8" width="23.33203125" style="2" customWidth="1"/>
    <col min="9" max="10" width="20" style="2" customWidth="1"/>
    <col min="11" max="11" width="21.6640625" style="2" customWidth="1"/>
    <col min="12" max="12" width="8.33203125" style="2" customWidth="1"/>
    <col min="13" max="13" width="13.33203125" style="2" customWidth="1"/>
    <col min="14" max="14" width="95" style="2" customWidth="1"/>
    <col min="15" max="15" width="40.88671875" style="2" customWidth="1"/>
    <col min="16" max="16" width="79.33203125" style="2" customWidth="1"/>
    <col min="17" max="17" width="48.88671875" style="2" customWidth="1"/>
    <col min="18" max="16384" width="8.6640625" style="2"/>
  </cols>
  <sheetData>
    <row r="1" spans="1:17" ht="45.75" customHeight="1" thickBot="1" x14ac:dyDescent="0.35">
      <c r="A1" s="8" t="s">
        <v>0</v>
      </c>
      <c r="B1" s="9" t="s">
        <v>1</v>
      </c>
      <c r="C1" s="10" t="s">
        <v>2</v>
      </c>
      <c r="D1" s="11" t="s">
        <v>3</v>
      </c>
      <c r="E1" s="12" t="s">
        <v>4</v>
      </c>
      <c r="F1" s="13" t="s">
        <v>5</v>
      </c>
      <c r="G1" s="14" t="s">
        <v>6</v>
      </c>
      <c r="H1" s="15" t="s">
        <v>7</v>
      </c>
      <c r="I1" s="16" t="s">
        <v>8</v>
      </c>
      <c r="J1" s="13" t="s">
        <v>9</v>
      </c>
      <c r="K1" s="12" t="s">
        <v>10</v>
      </c>
      <c r="L1" s="17" t="s">
        <v>11</v>
      </c>
      <c r="M1" s="18" t="s">
        <v>12</v>
      </c>
      <c r="N1" s="19" t="s">
        <v>13</v>
      </c>
      <c r="O1" s="20" t="s">
        <v>14</v>
      </c>
      <c r="P1" s="21" t="s">
        <v>15</v>
      </c>
      <c r="Q1" s="22" t="s">
        <v>16</v>
      </c>
    </row>
    <row r="2" spans="1:17" customFormat="1" ht="15" thickBot="1" x14ac:dyDescent="0.35">
      <c r="A2" s="38">
        <v>1</v>
      </c>
      <c r="B2" s="35" t="s">
        <v>21</v>
      </c>
      <c r="C2" s="36" t="s">
        <v>77</v>
      </c>
      <c r="D2" s="36" t="s">
        <v>78</v>
      </c>
      <c r="E2" s="36" t="s">
        <v>17</v>
      </c>
      <c r="F2" s="36" t="s">
        <v>156</v>
      </c>
      <c r="G2" s="36" t="s">
        <v>79</v>
      </c>
      <c r="H2" s="36" t="s">
        <v>79</v>
      </c>
      <c r="I2" s="36" t="s">
        <v>80</v>
      </c>
      <c r="J2" s="36">
        <v>1</v>
      </c>
      <c r="K2" s="36" t="s">
        <v>17</v>
      </c>
      <c r="L2" s="73">
        <v>3.4999899999999999</v>
      </c>
      <c r="M2" s="36">
        <v>3.5000100000000001</v>
      </c>
      <c r="N2" s="36" t="s">
        <v>51</v>
      </c>
      <c r="O2" s="36" t="s">
        <v>51</v>
      </c>
      <c r="P2" s="36" t="s">
        <v>81</v>
      </c>
      <c r="Q2" s="37" t="s">
        <v>109</v>
      </c>
    </row>
    <row r="3" spans="1:17" ht="139.80000000000001" customHeight="1" thickBot="1" x14ac:dyDescent="0.35">
      <c r="A3" s="34">
        <v>2</v>
      </c>
      <c r="B3" s="35" t="s">
        <v>29</v>
      </c>
      <c r="C3" s="36" t="s">
        <v>32</v>
      </c>
      <c r="D3" s="36" t="s">
        <v>33</v>
      </c>
      <c r="E3" s="36" t="s">
        <v>17</v>
      </c>
      <c r="F3" s="36" t="s">
        <v>156</v>
      </c>
      <c r="G3" s="36" t="s">
        <v>22</v>
      </c>
      <c r="H3" s="36" t="s">
        <v>23</v>
      </c>
      <c r="I3" s="36" t="s">
        <v>24</v>
      </c>
      <c r="J3" s="36">
        <v>2</v>
      </c>
      <c r="K3" s="36" t="s">
        <v>17</v>
      </c>
      <c r="L3" s="89">
        <v>0.5</v>
      </c>
      <c r="M3" s="36">
        <v>1.5</v>
      </c>
      <c r="N3" s="36" t="s">
        <v>162</v>
      </c>
      <c r="O3" s="36" t="s">
        <v>176</v>
      </c>
      <c r="P3" s="36" t="s">
        <v>25</v>
      </c>
      <c r="Q3" s="37" t="s">
        <v>109</v>
      </c>
    </row>
    <row r="4" spans="1:17" ht="69.599999999999994" customHeight="1" thickBot="1" x14ac:dyDescent="0.35">
      <c r="A4" s="34">
        <f t="shared" ref="A4" si="0">+A3+1</f>
        <v>3</v>
      </c>
      <c r="B4" s="35" t="s">
        <v>31</v>
      </c>
      <c r="C4" s="36" t="s">
        <v>35</v>
      </c>
      <c r="D4" s="36" t="s">
        <v>36</v>
      </c>
      <c r="E4" s="36" t="s">
        <v>17</v>
      </c>
      <c r="F4" s="36" t="s">
        <v>156</v>
      </c>
      <c r="G4" s="36" t="s">
        <v>22</v>
      </c>
      <c r="H4" s="36" t="s">
        <v>23</v>
      </c>
      <c r="I4" s="36" t="s">
        <v>24</v>
      </c>
      <c r="J4" s="36">
        <v>3</v>
      </c>
      <c r="K4" s="36" t="s">
        <v>17</v>
      </c>
      <c r="L4" s="89">
        <v>0.5</v>
      </c>
      <c r="M4" s="89">
        <v>1.5</v>
      </c>
      <c r="N4" s="36" t="s">
        <v>163</v>
      </c>
      <c r="O4" s="36" t="s">
        <v>42</v>
      </c>
      <c r="P4" s="36" t="s">
        <v>25</v>
      </c>
      <c r="Q4" s="37" t="s">
        <v>109</v>
      </c>
    </row>
    <row r="5" spans="1:17" ht="29.4" thickBot="1" x14ac:dyDescent="0.35">
      <c r="A5" s="34">
        <v>4</v>
      </c>
      <c r="B5" s="35" t="s">
        <v>48</v>
      </c>
      <c r="C5" s="36" t="s">
        <v>38</v>
      </c>
      <c r="D5" s="36" t="s">
        <v>93</v>
      </c>
      <c r="E5" s="36" t="s">
        <v>17</v>
      </c>
      <c r="F5" s="36" t="s">
        <v>156</v>
      </c>
      <c r="G5" s="36" t="s">
        <v>22</v>
      </c>
      <c r="H5" s="36" t="s">
        <v>23</v>
      </c>
      <c r="I5" s="36" t="s">
        <v>24</v>
      </c>
      <c r="J5" s="36">
        <v>4</v>
      </c>
      <c r="K5" s="36" t="s">
        <v>17</v>
      </c>
      <c r="L5" s="89">
        <v>0.7</v>
      </c>
      <c r="M5" s="89">
        <v>1</v>
      </c>
      <c r="N5" s="36" t="s">
        <v>113</v>
      </c>
      <c r="O5" s="36" t="s">
        <v>20</v>
      </c>
      <c r="P5" s="36" t="s">
        <v>25</v>
      </c>
      <c r="Q5" s="37" t="s">
        <v>109</v>
      </c>
    </row>
    <row r="6" spans="1:17" ht="145.80000000000001" customHeight="1" thickBot="1" x14ac:dyDescent="0.35">
      <c r="A6" s="86">
        <v>5</v>
      </c>
      <c r="B6" s="87" t="s">
        <v>144</v>
      </c>
      <c r="C6" s="36" t="s">
        <v>148</v>
      </c>
      <c r="D6" s="36" t="s">
        <v>150</v>
      </c>
      <c r="E6" s="36" t="s">
        <v>17</v>
      </c>
      <c r="F6" s="36" t="s">
        <v>156</v>
      </c>
      <c r="G6" s="36" t="s">
        <v>22</v>
      </c>
      <c r="H6" s="36" t="s">
        <v>23</v>
      </c>
      <c r="I6" s="80" t="s">
        <v>24</v>
      </c>
      <c r="J6" s="81">
        <v>5</v>
      </c>
      <c r="K6" s="82" t="s">
        <v>17</v>
      </c>
      <c r="L6" s="36">
        <v>0.9</v>
      </c>
      <c r="M6" s="36">
        <v>1.1000000000000001</v>
      </c>
      <c r="N6" s="36" t="s">
        <v>161</v>
      </c>
      <c r="O6" s="36" t="s">
        <v>19</v>
      </c>
      <c r="P6" s="36" t="s">
        <v>84</v>
      </c>
      <c r="Q6" s="37" t="s">
        <v>109</v>
      </c>
    </row>
    <row r="7" spans="1:17" ht="31.8" customHeight="1" thickBot="1" x14ac:dyDescent="0.35">
      <c r="A7" s="30">
        <v>6</v>
      </c>
      <c r="B7" s="87" t="s">
        <v>147</v>
      </c>
      <c r="C7" s="36" t="s">
        <v>142</v>
      </c>
      <c r="D7" s="36" t="s">
        <v>143</v>
      </c>
      <c r="E7" s="36" t="s">
        <v>17</v>
      </c>
      <c r="F7" s="36" t="s">
        <v>156</v>
      </c>
      <c r="G7" s="36" t="s">
        <v>22</v>
      </c>
      <c r="H7" s="36" t="s">
        <v>23</v>
      </c>
      <c r="I7" s="80" t="s">
        <v>24</v>
      </c>
      <c r="J7" s="81">
        <v>6</v>
      </c>
      <c r="K7" s="82" t="s">
        <v>17</v>
      </c>
      <c r="L7" s="32">
        <v>0.8</v>
      </c>
      <c r="M7" s="32">
        <v>1.2</v>
      </c>
      <c r="N7" s="36" t="s">
        <v>160</v>
      </c>
      <c r="O7" s="36" t="s">
        <v>19</v>
      </c>
      <c r="P7" s="36" t="s">
        <v>84</v>
      </c>
      <c r="Q7" s="37" t="s">
        <v>109</v>
      </c>
    </row>
    <row r="8" spans="1:17" ht="29.4" thickBot="1" x14ac:dyDescent="0.35">
      <c r="A8" s="79">
        <v>7</v>
      </c>
      <c r="B8" s="36" t="s">
        <v>153</v>
      </c>
      <c r="C8" s="36" t="s">
        <v>130</v>
      </c>
      <c r="D8" s="36" t="s">
        <v>131</v>
      </c>
      <c r="E8" s="36" t="s">
        <v>17</v>
      </c>
      <c r="F8" s="36" t="s">
        <v>156</v>
      </c>
      <c r="G8" s="36" t="s">
        <v>132</v>
      </c>
      <c r="H8" s="36" t="s">
        <v>23</v>
      </c>
      <c r="I8" s="80" t="s">
        <v>24</v>
      </c>
      <c r="J8" s="81">
        <v>7</v>
      </c>
      <c r="K8" s="82" t="s">
        <v>17</v>
      </c>
      <c r="L8" s="36">
        <v>0.5</v>
      </c>
      <c r="M8" s="36">
        <v>3</v>
      </c>
      <c r="N8" s="36" t="s">
        <v>146</v>
      </c>
      <c r="O8" s="36" t="s">
        <v>133</v>
      </c>
      <c r="P8" s="36" t="s">
        <v>25</v>
      </c>
      <c r="Q8" s="37" t="s">
        <v>109</v>
      </c>
    </row>
    <row r="9" spans="1:17" ht="29.4" thickBot="1" x14ac:dyDescent="0.35">
      <c r="A9" s="79">
        <v>8</v>
      </c>
      <c r="B9" s="36" t="s">
        <v>136</v>
      </c>
      <c r="C9" s="36" t="s">
        <v>130</v>
      </c>
      <c r="D9" s="36" t="s">
        <v>134</v>
      </c>
      <c r="E9" s="36" t="s">
        <v>17</v>
      </c>
      <c r="F9" s="36" t="s">
        <v>156</v>
      </c>
      <c r="G9" s="36" t="s">
        <v>135</v>
      </c>
      <c r="H9" s="36" t="s">
        <v>23</v>
      </c>
      <c r="I9" s="80" t="s">
        <v>24</v>
      </c>
      <c r="J9" s="81">
        <v>8</v>
      </c>
      <c r="K9" s="82" t="s">
        <v>17</v>
      </c>
      <c r="L9" s="90">
        <v>0.5</v>
      </c>
      <c r="M9" s="32">
        <v>3</v>
      </c>
      <c r="N9" s="36" t="s">
        <v>157</v>
      </c>
      <c r="O9" s="36" t="s">
        <v>133</v>
      </c>
      <c r="P9" s="36" t="s">
        <v>25</v>
      </c>
      <c r="Q9" s="37" t="s">
        <v>109</v>
      </c>
    </row>
    <row r="10" spans="1:17" ht="29.4" thickBot="1" x14ac:dyDescent="0.35">
      <c r="A10" s="91">
        <v>9</v>
      </c>
      <c r="B10" s="46" t="s">
        <v>139</v>
      </c>
      <c r="C10" s="46" t="s">
        <v>130</v>
      </c>
      <c r="D10" s="46" t="s">
        <v>137</v>
      </c>
      <c r="E10" s="46" t="s">
        <v>17</v>
      </c>
      <c r="F10" s="46" t="s">
        <v>156</v>
      </c>
      <c r="G10" s="46" t="s">
        <v>138</v>
      </c>
      <c r="H10" s="46" t="s">
        <v>23</v>
      </c>
      <c r="I10" s="92" t="s">
        <v>24</v>
      </c>
      <c r="J10" s="93">
        <v>9</v>
      </c>
      <c r="K10" s="94" t="s">
        <v>17</v>
      </c>
      <c r="L10" s="46">
        <v>0.5</v>
      </c>
      <c r="M10" s="46">
        <v>1.5</v>
      </c>
      <c r="N10" s="46" t="s">
        <v>158</v>
      </c>
      <c r="O10" s="46" t="s">
        <v>133</v>
      </c>
      <c r="P10" s="46" t="s">
        <v>25</v>
      </c>
      <c r="Q10" s="95" t="s">
        <v>109</v>
      </c>
    </row>
    <row r="11" spans="1:17" ht="29.4" thickBot="1" x14ac:dyDescent="0.35">
      <c r="A11" s="34">
        <v>10</v>
      </c>
      <c r="B11" s="35" t="s">
        <v>167</v>
      </c>
      <c r="C11" s="35" t="s">
        <v>173</v>
      </c>
      <c r="D11" s="35" t="s">
        <v>173</v>
      </c>
      <c r="E11" s="36" t="s">
        <v>17</v>
      </c>
      <c r="F11" s="36" t="s">
        <v>156</v>
      </c>
      <c r="G11" s="36" t="s">
        <v>22</v>
      </c>
      <c r="H11" s="36" t="s">
        <v>23</v>
      </c>
      <c r="I11" s="80" t="s">
        <v>24</v>
      </c>
      <c r="J11" s="96">
        <v>10</v>
      </c>
      <c r="K11" s="94" t="s">
        <v>17</v>
      </c>
      <c r="L11" s="35">
        <v>0.9</v>
      </c>
      <c r="M11" s="35">
        <v>1.1000000000000001</v>
      </c>
      <c r="N11" s="35" t="s">
        <v>179</v>
      </c>
      <c r="O11" s="35" t="s">
        <v>19</v>
      </c>
      <c r="P11" s="36" t="s">
        <v>25</v>
      </c>
      <c r="Q11" s="37" t="s">
        <v>109</v>
      </c>
    </row>
    <row r="12" spans="1:17" ht="29.4" thickBot="1" x14ac:dyDescent="0.35">
      <c r="A12" s="34">
        <v>11</v>
      </c>
      <c r="B12" s="35" t="s">
        <v>168</v>
      </c>
      <c r="C12" s="35" t="s">
        <v>159</v>
      </c>
      <c r="D12" s="35" t="s">
        <v>159</v>
      </c>
      <c r="E12" s="36" t="s">
        <v>17</v>
      </c>
      <c r="F12" s="36" t="s">
        <v>156</v>
      </c>
      <c r="G12" s="36" t="s">
        <v>22</v>
      </c>
      <c r="H12" s="36" t="s">
        <v>23</v>
      </c>
      <c r="I12" s="80" t="s">
        <v>24</v>
      </c>
      <c r="J12" s="96">
        <v>11</v>
      </c>
      <c r="K12" s="94" t="s">
        <v>17</v>
      </c>
      <c r="L12" s="35">
        <v>0.9</v>
      </c>
      <c r="M12" s="35">
        <v>1.1000000000000001</v>
      </c>
      <c r="N12" s="35" t="s">
        <v>164</v>
      </c>
      <c r="O12" s="36" t="s">
        <v>133</v>
      </c>
      <c r="P12" s="36" t="s">
        <v>25</v>
      </c>
      <c r="Q12" s="37" t="s">
        <v>109</v>
      </c>
    </row>
    <row r="13" spans="1:17" ht="29.4" thickBot="1" x14ac:dyDescent="0.35">
      <c r="A13" s="34">
        <v>12</v>
      </c>
      <c r="B13" s="35" t="s">
        <v>169</v>
      </c>
      <c r="C13" s="35" t="s">
        <v>165</v>
      </c>
      <c r="D13" s="35" t="s">
        <v>165</v>
      </c>
      <c r="E13" s="36" t="s">
        <v>17</v>
      </c>
      <c r="F13" s="36" t="s">
        <v>156</v>
      </c>
      <c r="G13" s="36" t="s">
        <v>22</v>
      </c>
      <c r="H13" s="36" t="s">
        <v>23</v>
      </c>
      <c r="I13" s="80" t="s">
        <v>24</v>
      </c>
      <c r="J13" s="96">
        <v>12</v>
      </c>
      <c r="K13" s="94" t="s">
        <v>17</v>
      </c>
      <c r="L13" s="35">
        <v>0.9</v>
      </c>
      <c r="M13" s="35">
        <v>1.1000000000000001</v>
      </c>
      <c r="N13" s="35" t="s">
        <v>174</v>
      </c>
      <c r="O13" s="36" t="s">
        <v>133</v>
      </c>
      <c r="P13" s="36" t="s">
        <v>25</v>
      </c>
      <c r="Q13" s="37" t="s">
        <v>109</v>
      </c>
    </row>
    <row r="14" spans="1:17" ht="29.4" thickBot="1" x14ac:dyDescent="0.35">
      <c r="A14" s="34">
        <v>13</v>
      </c>
      <c r="B14" s="35" t="s">
        <v>171</v>
      </c>
      <c r="C14" s="35" t="s">
        <v>166</v>
      </c>
      <c r="D14" s="35" t="s">
        <v>166</v>
      </c>
      <c r="E14" s="36" t="s">
        <v>17</v>
      </c>
      <c r="F14" s="36" t="s">
        <v>156</v>
      </c>
      <c r="G14" s="36" t="s">
        <v>22</v>
      </c>
      <c r="H14" s="36" t="s">
        <v>23</v>
      </c>
      <c r="I14" s="80" t="s">
        <v>24</v>
      </c>
      <c r="J14" s="96">
        <v>13</v>
      </c>
      <c r="K14" s="82" t="s">
        <v>17</v>
      </c>
      <c r="L14" s="35">
        <v>0.9</v>
      </c>
      <c r="M14" s="35">
        <v>1.1000000000000001</v>
      </c>
      <c r="N14" s="35" t="s">
        <v>175</v>
      </c>
      <c r="O14" s="36" t="s">
        <v>133</v>
      </c>
      <c r="P14" s="36" t="s">
        <v>25</v>
      </c>
      <c r="Q14" s="37" t="s">
        <v>109</v>
      </c>
    </row>
    <row r="15" spans="1:17" ht="29.4" thickBot="1" x14ac:dyDescent="0.35">
      <c r="A15" s="34">
        <v>14</v>
      </c>
      <c r="B15" s="97" t="s">
        <v>180</v>
      </c>
      <c r="C15" s="98" t="s">
        <v>172</v>
      </c>
      <c r="D15" s="35" t="s">
        <v>170</v>
      </c>
      <c r="E15" s="35" t="s">
        <v>17</v>
      </c>
      <c r="F15" s="97" t="s">
        <v>156</v>
      </c>
      <c r="G15" s="35" t="s">
        <v>22</v>
      </c>
      <c r="H15" s="35" t="s">
        <v>23</v>
      </c>
      <c r="I15" s="99" t="s">
        <v>24</v>
      </c>
      <c r="J15" s="96">
        <v>14</v>
      </c>
      <c r="K15" s="100" t="s">
        <v>17</v>
      </c>
      <c r="L15" s="35">
        <v>0.5</v>
      </c>
      <c r="M15" s="35">
        <v>1.5</v>
      </c>
      <c r="N15" s="36" t="s">
        <v>178</v>
      </c>
      <c r="O15" s="98" t="s">
        <v>177</v>
      </c>
      <c r="P15" s="36" t="s">
        <v>25</v>
      </c>
      <c r="Q15" s="37" t="s">
        <v>109</v>
      </c>
    </row>
    <row r="19" spans="14:14" x14ac:dyDescent="0.3">
      <c r="N19"/>
    </row>
    <row r="20" spans="14:14" x14ac:dyDescent="0.3">
      <c r="N20"/>
    </row>
    <row r="21" spans="14:14" x14ac:dyDescent="0.3">
      <c r="N21"/>
    </row>
    <row r="22" spans="14:14" x14ac:dyDescent="0.3">
      <c r="N22"/>
    </row>
    <row r="23" spans="14:14" x14ac:dyDescent="0.3">
      <c r="N23"/>
    </row>
    <row r="24" spans="14:14" x14ac:dyDescent="0.3">
      <c r="N24"/>
    </row>
    <row r="25" spans="14:14" x14ac:dyDescent="0.3">
      <c r="N25"/>
    </row>
    <row r="26" spans="14:14" x14ac:dyDescent="0.3">
      <c r="N26"/>
    </row>
    <row r="27" spans="14:14" x14ac:dyDescent="0.3">
      <c r="N27"/>
    </row>
    <row r="28" spans="14:14" x14ac:dyDescent="0.3">
      <c r="N28"/>
    </row>
    <row r="29" spans="14:14" x14ac:dyDescent="0.3">
      <c r="N29"/>
    </row>
    <row r="30" spans="14:14" x14ac:dyDescent="0.3">
      <c r="N30"/>
    </row>
    <row r="31" spans="14:14" x14ac:dyDescent="0.3">
      <c r="N31"/>
    </row>
    <row r="32" spans="14:14" x14ac:dyDescent="0.3">
      <c r="N32"/>
    </row>
    <row r="33" spans="14:14" x14ac:dyDescent="0.3">
      <c r="N33"/>
    </row>
    <row r="34" spans="14:14" x14ac:dyDescent="0.3">
      <c r="N34"/>
    </row>
    <row r="35" spans="14:14" x14ac:dyDescent="0.3">
      <c r="N35"/>
    </row>
    <row r="36" spans="14:14" x14ac:dyDescent="0.3">
      <c r="N36"/>
    </row>
    <row r="37" spans="14:14" x14ac:dyDescent="0.3">
      <c r="N37"/>
    </row>
    <row r="38" spans="14:14" x14ac:dyDescent="0.3">
      <c r="N38"/>
    </row>
  </sheetData>
  <pageMargins left="0.7" right="0.7" top="0.75" bottom="0.75" header="0.3" footer="0.3"/>
  <pageSetup orientation="portrait"/>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D0F8D-7ECE-4B9B-892B-DB68F31C309F}">
  <dimension ref="A1:AF78"/>
  <sheetViews>
    <sheetView zoomScale="85" zoomScaleNormal="85" workbookViewId="0">
      <pane xSplit="3" ySplit="1" topLeftCell="D2" activePane="bottomRight" state="frozen"/>
      <selection pane="topRight" activeCell="D1" sqref="D1"/>
      <selection pane="bottomLeft" activeCell="A2" sqref="A2"/>
      <selection pane="bottomRight" activeCell="C5" sqref="C5:G6"/>
    </sheetView>
  </sheetViews>
  <sheetFormatPr defaultColWidth="8.6640625" defaultRowHeight="14.4" x14ac:dyDescent="0.3"/>
  <cols>
    <col min="1" max="1" width="10.109375" style="2" customWidth="1"/>
    <col min="2" max="2" width="14.33203125" style="2" customWidth="1"/>
    <col min="3" max="3" width="40.109375" style="2" customWidth="1"/>
    <col min="4" max="4" width="43" style="2" customWidth="1"/>
    <col min="5" max="5" width="16.33203125" style="2" customWidth="1"/>
    <col min="6" max="6" width="28.88671875" style="2" bestFit="1" customWidth="1"/>
    <col min="7" max="8" width="23.33203125" style="2" customWidth="1"/>
    <col min="9" max="10" width="20" style="2" customWidth="1"/>
    <col min="11" max="11" width="21.6640625" style="2" customWidth="1"/>
    <col min="12" max="12" width="8.33203125" style="2" customWidth="1"/>
    <col min="13" max="13" width="13.33203125" style="2" customWidth="1"/>
    <col min="14" max="14" width="95" style="2" customWidth="1"/>
    <col min="15" max="15" width="40.88671875" style="2" customWidth="1"/>
    <col min="16" max="16" width="79.33203125" style="2" customWidth="1"/>
    <col min="17" max="17" width="48.88671875" style="2" customWidth="1"/>
    <col min="18" max="16384" width="8.6640625" style="2"/>
  </cols>
  <sheetData>
    <row r="1" spans="1:32" ht="45.75" customHeight="1" thickBot="1" x14ac:dyDescent="0.35">
      <c r="A1" s="8" t="s">
        <v>0</v>
      </c>
      <c r="B1" s="9" t="s">
        <v>1</v>
      </c>
      <c r="C1" s="10" t="s">
        <v>2</v>
      </c>
      <c r="D1" s="11" t="s">
        <v>3</v>
      </c>
      <c r="E1" s="12" t="s">
        <v>4</v>
      </c>
      <c r="F1" s="13" t="s">
        <v>5</v>
      </c>
      <c r="G1" s="14" t="s">
        <v>6</v>
      </c>
      <c r="H1" s="15" t="s">
        <v>7</v>
      </c>
      <c r="I1" s="16" t="s">
        <v>8</v>
      </c>
      <c r="J1" s="13" t="s">
        <v>9</v>
      </c>
      <c r="K1" s="12" t="s">
        <v>10</v>
      </c>
      <c r="L1" s="17" t="s">
        <v>11</v>
      </c>
      <c r="M1" s="18" t="s">
        <v>12</v>
      </c>
      <c r="N1" s="19" t="s">
        <v>13</v>
      </c>
      <c r="O1" s="20" t="s">
        <v>14</v>
      </c>
      <c r="P1" s="21" t="s">
        <v>15</v>
      </c>
      <c r="Q1" s="22" t="s">
        <v>16</v>
      </c>
    </row>
    <row r="2" spans="1:32" customFormat="1" ht="15" thickBot="1" x14ac:dyDescent="0.35">
      <c r="A2" s="38">
        <v>1</v>
      </c>
      <c r="B2" s="35" t="s">
        <v>21</v>
      </c>
      <c r="C2" s="36" t="s">
        <v>77</v>
      </c>
      <c r="D2" s="36" t="s">
        <v>78</v>
      </c>
      <c r="E2" s="36" t="s">
        <v>17</v>
      </c>
      <c r="F2" s="36" t="s">
        <v>154</v>
      </c>
      <c r="G2" s="36" t="s">
        <v>79</v>
      </c>
      <c r="H2" s="36" t="s">
        <v>79</v>
      </c>
      <c r="I2" s="36" t="s">
        <v>80</v>
      </c>
      <c r="J2" s="36">
        <v>1</v>
      </c>
      <c r="K2" s="36" t="s">
        <v>17</v>
      </c>
      <c r="L2" s="73">
        <v>3.7999000000000001</v>
      </c>
      <c r="M2" s="36">
        <v>3.8001</v>
      </c>
      <c r="N2" s="60" t="s">
        <v>51</v>
      </c>
      <c r="O2" s="36" t="s">
        <v>51</v>
      </c>
      <c r="P2" s="36" t="s">
        <v>81</v>
      </c>
      <c r="Q2" s="37" t="s">
        <v>109</v>
      </c>
    </row>
    <row r="3" spans="1:32" ht="72.599999999999994" thickBot="1" x14ac:dyDescent="0.35">
      <c r="A3" s="34">
        <f>+A2+1</f>
        <v>2</v>
      </c>
      <c r="B3" s="35" t="s">
        <v>26</v>
      </c>
      <c r="C3" s="68" t="s">
        <v>28</v>
      </c>
      <c r="D3" s="43" t="s">
        <v>128</v>
      </c>
      <c r="E3" s="36" t="s">
        <v>17</v>
      </c>
      <c r="F3" s="36" t="s">
        <v>154</v>
      </c>
      <c r="G3" s="36" t="s">
        <v>22</v>
      </c>
      <c r="H3" s="36" t="s">
        <v>23</v>
      </c>
      <c r="I3" s="36" t="s">
        <v>24</v>
      </c>
      <c r="J3" s="36">
        <v>2</v>
      </c>
      <c r="K3" s="36" t="s">
        <v>17</v>
      </c>
      <c r="L3" s="73">
        <v>0.99999000000000005</v>
      </c>
      <c r="M3" s="36">
        <v>1.0000100000000001</v>
      </c>
      <c r="N3" s="60" t="s">
        <v>18</v>
      </c>
      <c r="O3" s="36" t="s">
        <v>19</v>
      </c>
      <c r="P3" s="36" t="s">
        <v>84</v>
      </c>
      <c r="Q3" s="37" t="s">
        <v>109</v>
      </c>
      <c r="R3" s="5"/>
      <c r="S3" s="3"/>
      <c r="T3" s="3"/>
      <c r="U3" s="3"/>
      <c r="V3" s="3"/>
      <c r="W3" s="3"/>
      <c r="X3" s="3"/>
      <c r="Y3" s="3"/>
      <c r="Z3" s="3"/>
      <c r="AA3" s="3"/>
      <c r="AB3" s="3"/>
      <c r="AC3" s="3"/>
      <c r="AD3" s="3"/>
      <c r="AE3" s="3"/>
      <c r="AF3" s="4"/>
    </row>
    <row r="4" spans="1:32" ht="29.4" thickBot="1" x14ac:dyDescent="0.35">
      <c r="A4" s="34">
        <f t="shared" ref="A4:A19" si="0">+A3+1</f>
        <v>3</v>
      </c>
      <c r="B4" s="35" t="s">
        <v>27</v>
      </c>
      <c r="C4" s="68" t="s">
        <v>30</v>
      </c>
      <c r="D4" s="43" t="s">
        <v>129</v>
      </c>
      <c r="E4" s="36" t="s">
        <v>17</v>
      </c>
      <c r="F4" s="36" t="s">
        <v>154</v>
      </c>
      <c r="G4" s="36" t="s">
        <v>22</v>
      </c>
      <c r="H4" s="36" t="s">
        <v>23</v>
      </c>
      <c r="I4" s="36" t="s">
        <v>24</v>
      </c>
      <c r="J4" s="36">
        <v>3</v>
      </c>
      <c r="K4" s="36" t="s">
        <v>17</v>
      </c>
      <c r="L4" s="73">
        <v>0.99999000000000005</v>
      </c>
      <c r="M4" s="36">
        <v>1.0000100000000001</v>
      </c>
      <c r="N4" s="60" t="s">
        <v>82</v>
      </c>
      <c r="O4" s="36" t="s">
        <v>19</v>
      </c>
      <c r="P4" s="36" t="s">
        <v>25</v>
      </c>
      <c r="Q4" s="37" t="s">
        <v>109</v>
      </c>
      <c r="R4" s="5"/>
      <c r="S4" s="3"/>
      <c r="T4" s="3"/>
      <c r="U4" s="3"/>
      <c r="V4" s="3"/>
      <c r="W4" s="3"/>
      <c r="X4" s="3"/>
      <c r="Y4" s="3"/>
      <c r="Z4" s="3"/>
      <c r="AA4" s="3"/>
      <c r="AB4" s="3"/>
      <c r="AC4" s="3"/>
      <c r="AD4" s="3"/>
      <c r="AE4" s="3"/>
      <c r="AF4" s="4"/>
    </row>
    <row r="5" spans="1:32" ht="29.4" thickBot="1" x14ac:dyDescent="0.35">
      <c r="A5" s="34">
        <f t="shared" si="0"/>
        <v>4</v>
      </c>
      <c r="B5" s="35" t="s">
        <v>29</v>
      </c>
      <c r="C5" s="36" t="s">
        <v>32</v>
      </c>
      <c r="D5" s="36" t="s">
        <v>33</v>
      </c>
      <c r="E5" s="36" t="s">
        <v>17</v>
      </c>
      <c r="F5" s="36" t="s">
        <v>154</v>
      </c>
      <c r="G5" s="36" t="s">
        <v>22</v>
      </c>
      <c r="H5" s="36" t="s">
        <v>23</v>
      </c>
      <c r="I5" s="36" t="s">
        <v>24</v>
      </c>
      <c r="J5" s="36">
        <v>4</v>
      </c>
      <c r="K5" s="36" t="s">
        <v>17</v>
      </c>
      <c r="L5" s="73">
        <v>0.99999000000000005</v>
      </c>
      <c r="M5" s="36">
        <v>1.0000100000000001</v>
      </c>
      <c r="N5" s="43" t="s">
        <v>122</v>
      </c>
      <c r="O5" s="36" t="s">
        <v>85</v>
      </c>
      <c r="P5" s="36" t="s">
        <v>25</v>
      </c>
      <c r="Q5" s="37" t="s">
        <v>109</v>
      </c>
    </row>
    <row r="6" spans="1:32" ht="29.4" thickBot="1" x14ac:dyDescent="0.35">
      <c r="A6" s="34">
        <f t="shared" si="0"/>
        <v>5</v>
      </c>
      <c r="B6" s="35" t="s">
        <v>31</v>
      </c>
      <c r="C6" s="36" t="s">
        <v>35</v>
      </c>
      <c r="D6" s="36" t="s">
        <v>36</v>
      </c>
      <c r="E6" s="36" t="s">
        <v>17</v>
      </c>
      <c r="F6" s="36" t="s">
        <v>154</v>
      </c>
      <c r="G6" s="36" t="s">
        <v>22</v>
      </c>
      <c r="H6" s="36" t="s">
        <v>23</v>
      </c>
      <c r="I6" s="36" t="s">
        <v>24</v>
      </c>
      <c r="J6" s="36">
        <v>5</v>
      </c>
      <c r="K6" s="36" t="s">
        <v>17</v>
      </c>
      <c r="L6" s="73">
        <v>0.99999000000000005</v>
      </c>
      <c r="M6" s="36">
        <v>1.0000100000000001</v>
      </c>
      <c r="N6" s="60" t="s">
        <v>121</v>
      </c>
      <c r="O6" s="36" t="s">
        <v>42</v>
      </c>
      <c r="P6" s="36" t="s">
        <v>25</v>
      </c>
      <c r="Q6" s="37" t="s">
        <v>109</v>
      </c>
    </row>
    <row r="7" spans="1:32" ht="87" thickBot="1" x14ac:dyDescent="0.35">
      <c r="A7" s="34">
        <f t="shared" si="0"/>
        <v>6</v>
      </c>
      <c r="B7" s="35" t="s">
        <v>34</v>
      </c>
      <c r="C7" s="36" t="s">
        <v>86</v>
      </c>
      <c r="D7" s="36" t="s">
        <v>87</v>
      </c>
      <c r="E7" s="36" t="s">
        <v>17</v>
      </c>
      <c r="F7" s="36" t="s">
        <v>154</v>
      </c>
      <c r="G7" s="36" t="s">
        <v>22</v>
      </c>
      <c r="H7" s="36" t="s">
        <v>23</v>
      </c>
      <c r="I7" s="36" t="s">
        <v>24</v>
      </c>
      <c r="J7" s="36">
        <v>6</v>
      </c>
      <c r="K7" s="36" t="s">
        <v>17</v>
      </c>
      <c r="L7" s="73">
        <v>0.99999000000000005</v>
      </c>
      <c r="M7" s="36">
        <v>1.0000100000000001</v>
      </c>
      <c r="N7" s="43" t="s">
        <v>123</v>
      </c>
      <c r="O7" s="36" t="s">
        <v>88</v>
      </c>
      <c r="P7" s="36" t="s">
        <v>25</v>
      </c>
      <c r="Q7" s="37" t="s">
        <v>109</v>
      </c>
    </row>
    <row r="8" spans="1:32" ht="101.4" thickBot="1" x14ac:dyDescent="0.35">
      <c r="A8" s="34">
        <f t="shared" si="0"/>
        <v>7</v>
      </c>
      <c r="B8" s="35" t="s">
        <v>37</v>
      </c>
      <c r="C8" s="36" t="s">
        <v>40</v>
      </c>
      <c r="D8" s="36" t="s">
        <v>41</v>
      </c>
      <c r="E8" s="36" t="s">
        <v>17</v>
      </c>
      <c r="F8" s="36" t="s">
        <v>154</v>
      </c>
      <c r="G8" s="36" t="s">
        <v>22</v>
      </c>
      <c r="H8" s="36" t="s">
        <v>23</v>
      </c>
      <c r="I8" s="36" t="s">
        <v>24</v>
      </c>
      <c r="J8" s="36">
        <v>7</v>
      </c>
      <c r="K8" s="36" t="s">
        <v>17</v>
      </c>
      <c r="L8" s="73">
        <v>0.99999000000000005</v>
      </c>
      <c r="M8" s="36">
        <v>1.0000100000000001</v>
      </c>
      <c r="N8" s="60" t="s">
        <v>89</v>
      </c>
      <c r="O8" s="36" t="s">
        <v>88</v>
      </c>
      <c r="P8" s="36" t="s">
        <v>25</v>
      </c>
      <c r="Q8" s="37" t="s">
        <v>109</v>
      </c>
    </row>
    <row r="9" spans="1:32" ht="43.8" thickBot="1" x14ac:dyDescent="0.35">
      <c r="A9" s="34">
        <f t="shared" si="0"/>
        <v>8</v>
      </c>
      <c r="B9" s="35" t="s">
        <v>39</v>
      </c>
      <c r="C9" s="36" t="s">
        <v>90</v>
      </c>
      <c r="D9" s="36" t="s">
        <v>91</v>
      </c>
      <c r="E9" s="36" t="s">
        <v>17</v>
      </c>
      <c r="F9" s="36" t="s">
        <v>154</v>
      </c>
      <c r="G9" s="36" t="s">
        <v>22</v>
      </c>
      <c r="H9" s="36" t="s">
        <v>23</v>
      </c>
      <c r="I9" s="36" t="s">
        <v>24</v>
      </c>
      <c r="J9" s="36">
        <v>8</v>
      </c>
      <c r="K9" s="36" t="s">
        <v>17</v>
      </c>
      <c r="L9" s="73">
        <v>0.99999000000000005</v>
      </c>
      <c r="M9" s="36">
        <v>1.0000100000000001</v>
      </c>
      <c r="N9" s="60" t="s">
        <v>92</v>
      </c>
      <c r="O9" s="36" t="s">
        <v>88</v>
      </c>
      <c r="P9" s="36" t="s">
        <v>25</v>
      </c>
      <c r="Q9" s="37" t="s">
        <v>109</v>
      </c>
    </row>
    <row r="10" spans="1:32" ht="29.4" thickBot="1" x14ac:dyDescent="0.35">
      <c r="A10" s="34">
        <f t="shared" si="0"/>
        <v>9</v>
      </c>
      <c r="B10" s="35" t="s">
        <v>48</v>
      </c>
      <c r="C10" s="36" t="s">
        <v>38</v>
      </c>
      <c r="D10" s="36" t="s">
        <v>93</v>
      </c>
      <c r="E10" s="36" t="s">
        <v>17</v>
      </c>
      <c r="F10" s="36" t="s">
        <v>154</v>
      </c>
      <c r="G10" s="36" t="s">
        <v>22</v>
      </c>
      <c r="H10" s="36" t="s">
        <v>23</v>
      </c>
      <c r="I10" s="36" t="s">
        <v>24</v>
      </c>
      <c r="J10" s="36">
        <v>9</v>
      </c>
      <c r="K10" s="36" t="s">
        <v>17</v>
      </c>
      <c r="L10" s="73">
        <v>0.99999000000000005</v>
      </c>
      <c r="M10" s="36">
        <v>1.0000100000000001</v>
      </c>
      <c r="N10" s="60" t="s">
        <v>113</v>
      </c>
      <c r="O10" s="36" t="s">
        <v>20</v>
      </c>
      <c r="P10" s="36" t="s">
        <v>25</v>
      </c>
      <c r="Q10" s="37" t="s">
        <v>109</v>
      </c>
    </row>
    <row r="11" spans="1:32" ht="14.55" customHeight="1" x14ac:dyDescent="0.3">
      <c r="A11" s="69">
        <f t="shared" si="0"/>
        <v>10</v>
      </c>
      <c r="B11" s="27" t="s">
        <v>43</v>
      </c>
      <c r="C11" s="44" t="s">
        <v>44</v>
      </c>
      <c r="D11" s="44" t="s">
        <v>45</v>
      </c>
      <c r="E11" s="44" t="s">
        <v>17</v>
      </c>
      <c r="F11" s="45" t="s">
        <v>154</v>
      </c>
      <c r="G11" s="44" t="s">
        <v>97</v>
      </c>
      <c r="H11" s="46" t="s">
        <v>98</v>
      </c>
      <c r="I11" s="44" t="s">
        <v>80</v>
      </c>
      <c r="J11" s="47">
        <v>10</v>
      </c>
      <c r="K11" s="44" t="s">
        <v>17</v>
      </c>
      <c r="L11" s="74">
        <v>0.05</v>
      </c>
      <c r="M11" s="74">
        <v>0.4</v>
      </c>
      <c r="N11" s="62" t="s">
        <v>110</v>
      </c>
      <c r="O11" s="44" t="s">
        <v>19</v>
      </c>
      <c r="P11" s="44" t="s">
        <v>114</v>
      </c>
      <c r="Q11" s="53" t="s">
        <v>116</v>
      </c>
    </row>
    <row r="12" spans="1:32" ht="28.8" x14ac:dyDescent="0.3">
      <c r="A12" s="70">
        <f>+A11</f>
        <v>10</v>
      </c>
      <c r="B12" s="6" t="str">
        <f>+B11</f>
        <v>L_E_1</v>
      </c>
      <c r="C12" s="48" t="s">
        <v>44</v>
      </c>
      <c r="D12" s="48" t="s">
        <v>45</v>
      </c>
      <c r="E12" s="48" t="s">
        <v>17</v>
      </c>
      <c r="F12" s="49" t="s">
        <v>154</v>
      </c>
      <c r="G12" s="48" t="s">
        <v>97</v>
      </c>
      <c r="H12" s="50" t="s">
        <v>101</v>
      </c>
      <c r="I12" s="48" t="s">
        <v>80</v>
      </c>
      <c r="J12" s="51">
        <v>11</v>
      </c>
      <c r="K12" s="48" t="s">
        <v>17</v>
      </c>
      <c r="L12" s="63">
        <v>2030</v>
      </c>
      <c r="M12" s="63">
        <v>2040</v>
      </c>
      <c r="N12" s="63" t="s">
        <v>110</v>
      </c>
      <c r="O12" s="48" t="s">
        <v>19</v>
      </c>
      <c r="P12" s="48" t="s">
        <v>114</v>
      </c>
      <c r="Q12" s="54" t="s">
        <v>116</v>
      </c>
    </row>
    <row r="13" spans="1:32" ht="29.4" thickBot="1" x14ac:dyDescent="0.35">
      <c r="A13" s="71">
        <f>+A12</f>
        <v>10</v>
      </c>
      <c r="B13" s="24" t="str">
        <f>+B12</f>
        <v>L_E_1</v>
      </c>
      <c r="C13" s="48" t="s">
        <v>44</v>
      </c>
      <c r="D13" s="48" t="s">
        <v>45</v>
      </c>
      <c r="E13" s="48" t="s">
        <v>17</v>
      </c>
      <c r="F13" s="49" t="s">
        <v>154</v>
      </c>
      <c r="G13" s="48" t="s">
        <v>97</v>
      </c>
      <c r="H13" s="50" t="s">
        <v>102</v>
      </c>
      <c r="I13" s="48" t="s">
        <v>80</v>
      </c>
      <c r="J13" s="51">
        <v>12</v>
      </c>
      <c r="K13" s="52">
        <f>+J12</f>
        <v>11</v>
      </c>
      <c r="L13" s="75">
        <v>0.01</v>
      </c>
      <c r="M13" s="75">
        <v>0.2</v>
      </c>
      <c r="N13" s="63" t="s">
        <v>110</v>
      </c>
      <c r="O13" s="48" t="s">
        <v>19</v>
      </c>
      <c r="P13" s="48" t="s">
        <v>114</v>
      </c>
      <c r="Q13" s="54" t="s">
        <v>116</v>
      </c>
    </row>
    <row r="14" spans="1:32" x14ac:dyDescent="0.3">
      <c r="A14" s="69">
        <f>+A11+1</f>
        <v>11</v>
      </c>
      <c r="B14" s="27" t="s">
        <v>46</v>
      </c>
      <c r="C14" s="44" t="s">
        <v>44</v>
      </c>
      <c r="D14" s="44" t="s">
        <v>47</v>
      </c>
      <c r="E14" s="44" t="s">
        <v>17</v>
      </c>
      <c r="F14" s="45" t="s">
        <v>154</v>
      </c>
      <c r="G14" s="44" t="s">
        <v>97</v>
      </c>
      <c r="H14" s="46" t="s">
        <v>98</v>
      </c>
      <c r="I14" s="44" t="s">
        <v>80</v>
      </c>
      <c r="J14" s="47">
        <v>13</v>
      </c>
      <c r="K14" s="44" t="s">
        <v>17</v>
      </c>
      <c r="L14" s="74">
        <v>0.02</v>
      </c>
      <c r="M14" s="74">
        <v>0.2</v>
      </c>
      <c r="N14" s="62" t="s">
        <v>111</v>
      </c>
      <c r="O14" s="44" t="s">
        <v>19</v>
      </c>
      <c r="P14" s="44" t="s">
        <v>115</v>
      </c>
      <c r="Q14" s="53" t="s">
        <v>116</v>
      </c>
    </row>
    <row r="15" spans="1:32" ht="28.8" x14ac:dyDescent="0.3">
      <c r="A15" s="70">
        <f>+A14</f>
        <v>11</v>
      </c>
      <c r="B15" s="6" t="str">
        <f>+B14</f>
        <v>L_E_2</v>
      </c>
      <c r="C15" s="48" t="s">
        <v>44</v>
      </c>
      <c r="D15" s="48" t="s">
        <v>47</v>
      </c>
      <c r="E15" s="48" t="s">
        <v>17</v>
      </c>
      <c r="F15" s="49" t="s">
        <v>154</v>
      </c>
      <c r="G15" s="48" t="s">
        <v>97</v>
      </c>
      <c r="H15" s="50" t="s">
        <v>101</v>
      </c>
      <c r="I15" s="48" t="s">
        <v>80</v>
      </c>
      <c r="J15" s="51">
        <v>14</v>
      </c>
      <c r="K15" s="48" t="s">
        <v>17</v>
      </c>
      <c r="L15" s="63">
        <v>2030</v>
      </c>
      <c r="M15" s="63">
        <v>2035</v>
      </c>
      <c r="N15" s="63" t="s">
        <v>111</v>
      </c>
      <c r="O15" s="48" t="s">
        <v>19</v>
      </c>
      <c r="P15" s="48" t="s">
        <v>115</v>
      </c>
      <c r="Q15" s="54" t="s">
        <v>116</v>
      </c>
    </row>
    <row r="16" spans="1:32" ht="29.4" thickBot="1" x14ac:dyDescent="0.35">
      <c r="A16" s="71">
        <f>+A15</f>
        <v>11</v>
      </c>
      <c r="B16" s="24" t="str">
        <f>+B15</f>
        <v>L_E_2</v>
      </c>
      <c r="C16" s="31" t="s">
        <v>44</v>
      </c>
      <c r="D16" s="31" t="s">
        <v>47</v>
      </c>
      <c r="E16" s="31" t="s">
        <v>17</v>
      </c>
      <c r="F16" s="55" t="s">
        <v>154</v>
      </c>
      <c r="G16" s="31" t="s">
        <v>97</v>
      </c>
      <c r="H16" s="32" t="s">
        <v>102</v>
      </c>
      <c r="I16" s="31" t="s">
        <v>80</v>
      </c>
      <c r="J16" s="56">
        <v>15</v>
      </c>
      <c r="K16" s="57">
        <f>+J15</f>
        <v>14</v>
      </c>
      <c r="L16" s="76">
        <v>1E-3</v>
      </c>
      <c r="M16" s="76">
        <v>0.1</v>
      </c>
      <c r="N16" s="64" t="s">
        <v>111</v>
      </c>
      <c r="O16" s="31" t="s">
        <v>19</v>
      </c>
      <c r="P16" s="31" t="s">
        <v>115</v>
      </c>
      <c r="Q16" s="58" t="s">
        <v>116</v>
      </c>
    </row>
    <row r="17" spans="1:17" ht="29.4" thickBot="1" x14ac:dyDescent="0.35">
      <c r="A17" s="72">
        <f>+A14+1</f>
        <v>12</v>
      </c>
      <c r="B17" s="31" t="s">
        <v>54</v>
      </c>
      <c r="C17" s="32" t="s">
        <v>49</v>
      </c>
      <c r="D17" s="32" t="s">
        <v>94</v>
      </c>
      <c r="E17" s="32" t="s">
        <v>17</v>
      </c>
      <c r="F17" s="32" t="s">
        <v>154</v>
      </c>
      <c r="G17" s="32" t="s">
        <v>22</v>
      </c>
      <c r="H17" s="32" t="s">
        <v>23</v>
      </c>
      <c r="I17" s="32" t="s">
        <v>24</v>
      </c>
      <c r="J17" s="47">
        <v>16</v>
      </c>
      <c r="K17" s="32" t="s">
        <v>17</v>
      </c>
      <c r="L17" s="59">
        <v>0.99990000000000001</v>
      </c>
      <c r="M17" s="59">
        <v>1.0001</v>
      </c>
      <c r="N17" s="61" t="s">
        <v>117</v>
      </c>
      <c r="O17" s="32" t="s">
        <v>50</v>
      </c>
      <c r="P17" s="32" t="s">
        <v>25</v>
      </c>
      <c r="Q17" s="33" t="s">
        <v>109</v>
      </c>
    </row>
    <row r="18" spans="1:17" ht="29.4" thickBot="1" x14ac:dyDescent="0.35">
      <c r="A18" s="34">
        <f t="shared" si="0"/>
        <v>13</v>
      </c>
      <c r="B18" s="35" t="s">
        <v>58</v>
      </c>
      <c r="C18" s="36" t="s">
        <v>49</v>
      </c>
      <c r="D18" s="36" t="s">
        <v>95</v>
      </c>
      <c r="E18" s="36" t="s">
        <v>17</v>
      </c>
      <c r="F18" s="36" t="s">
        <v>154</v>
      </c>
      <c r="G18" s="36" t="s">
        <v>22</v>
      </c>
      <c r="H18" s="36" t="s">
        <v>23</v>
      </c>
      <c r="I18" s="36" t="s">
        <v>24</v>
      </c>
      <c r="J18" s="51">
        <v>17</v>
      </c>
      <c r="K18" s="36" t="s">
        <v>17</v>
      </c>
      <c r="L18" s="43">
        <v>0.99990000000000001</v>
      </c>
      <c r="M18" s="43">
        <v>1.0001</v>
      </c>
      <c r="N18" s="60" t="s">
        <v>96</v>
      </c>
      <c r="O18" s="36" t="s">
        <v>50</v>
      </c>
      <c r="P18" s="36" t="s">
        <v>25</v>
      </c>
      <c r="Q18" s="37" t="s">
        <v>109</v>
      </c>
    </row>
    <row r="19" spans="1:17" ht="29.4" thickBot="1" x14ac:dyDescent="0.35">
      <c r="A19" s="41">
        <f t="shared" si="0"/>
        <v>14</v>
      </c>
      <c r="B19" s="42" t="s">
        <v>51</v>
      </c>
      <c r="C19" s="36" t="s">
        <v>52</v>
      </c>
      <c r="D19" s="36" t="s">
        <v>53</v>
      </c>
      <c r="E19" s="36" t="s">
        <v>17</v>
      </c>
      <c r="F19" s="36" t="s">
        <v>154</v>
      </c>
      <c r="G19" s="36" t="s">
        <v>22</v>
      </c>
      <c r="H19" s="36" t="s">
        <v>23</v>
      </c>
      <c r="I19" s="36" t="s">
        <v>24</v>
      </c>
      <c r="J19" s="51">
        <v>18</v>
      </c>
      <c r="K19" s="36" t="s">
        <v>17</v>
      </c>
      <c r="L19" s="36">
        <v>0.99990000000000001</v>
      </c>
      <c r="M19" s="36">
        <v>1.0001</v>
      </c>
      <c r="N19" s="60" t="s">
        <v>83</v>
      </c>
      <c r="O19" s="36" t="s">
        <v>50</v>
      </c>
      <c r="P19" s="36"/>
      <c r="Q19" s="37"/>
    </row>
    <row r="20" spans="1:17" ht="28.8" x14ac:dyDescent="0.3">
      <c r="A20" s="69">
        <f>+A19+1</f>
        <v>15</v>
      </c>
      <c r="B20" s="27" t="s">
        <v>61</v>
      </c>
      <c r="C20" s="28" t="s">
        <v>55</v>
      </c>
      <c r="D20" s="28" t="s">
        <v>56</v>
      </c>
      <c r="E20" s="28" t="s">
        <v>17</v>
      </c>
      <c r="F20" s="28" t="s">
        <v>154</v>
      </c>
      <c r="G20" s="28" t="s">
        <v>97</v>
      </c>
      <c r="H20" s="28" t="s">
        <v>98</v>
      </c>
      <c r="I20" s="28" t="s">
        <v>80</v>
      </c>
      <c r="J20" s="47">
        <v>19</v>
      </c>
      <c r="K20" s="1" t="s">
        <v>17</v>
      </c>
      <c r="L20" s="77">
        <v>0.02</v>
      </c>
      <c r="M20" s="77">
        <v>0.3</v>
      </c>
      <c r="N20" s="65" t="s">
        <v>99</v>
      </c>
      <c r="O20" s="28" t="s">
        <v>57</v>
      </c>
      <c r="P20" s="28" t="s">
        <v>100</v>
      </c>
      <c r="Q20" s="29" t="s">
        <v>109</v>
      </c>
    </row>
    <row r="21" spans="1:17" ht="28.8" x14ac:dyDescent="0.3">
      <c r="A21" s="70">
        <f>+A20</f>
        <v>15</v>
      </c>
      <c r="B21" s="6" t="s">
        <v>61</v>
      </c>
      <c r="C21" s="7" t="s">
        <v>55</v>
      </c>
      <c r="D21" s="7" t="s">
        <v>56</v>
      </c>
      <c r="E21" s="7" t="s">
        <v>17</v>
      </c>
      <c r="F21" s="7" t="s">
        <v>154</v>
      </c>
      <c r="G21" s="7" t="s">
        <v>97</v>
      </c>
      <c r="H21" s="7" t="s">
        <v>101</v>
      </c>
      <c r="I21" s="7" t="s">
        <v>80</v>
      </c>
      <c r="J21" s="51">
        <v>20</v>
      </c>
      <c r="K21" s="39" t="s">
        <v>17</v>
      </c>
      <c r="L21" s="66">
        <v>2035</v>
      </c>
      <c r="M21" s="66">
        <v>2042</v>
      </c>
      <c r="N21" s="66" t="s">
        <v>99</v>
      </c>
      <c r="O21" s="7" t="s">
        <v>57</v>
      </c>
      <c r="P21" s="7" t="s">
        <v>100</v>
      </c>
      <c r="Q21" s="23" t="s">
        <v>109</v>
      </c>
    </row>
    <row r="22" spans="1:17" ht="29.4" thickBot="1" x14ac:dyDescent="0.35">
      <c r="A22" s="71">
        <f>+A21</f>
        <v>15</v>
      </c>
      <c r="B22" s="24" t="s">
        <v>61</v>
      </c>
      <c r="C22" s="25" t="s">
        <v>55</v>
      </c>
      <c r="D22" s="25" t="s">
        <v>56</v>
      </c>
      <c r="E22" s="25" t="s">
        <v>17</v>
      </c>
      <c r="F22" s="25" t="s">
        <v>154</v>
      </c>
      <c r="G22" s="25" t="s">
        <v>97</v>
      </c>
      <c r="H22" s="25" t="s">
        <v>102</v>
      </c>
      <c r="I22" s="25" t="s">
        <v>80</v>
      </c>
      <c r="J22" s="56">
        <v>21</v>
      </c>
      <c r="K22" s="40">
        <f>+J21</f>
        <v>20</v>
      </c>
      <c r="L22" s="78">
        <v>0.01</v>
      </c>
      <c r="M22" s="78">
        <v>0.1</v>
      </c>
      <c r="N22" s="67" t="s">
        <v>99</v>
      </c>
      <c r="O22" s="25" t="s">
        <v>57</v>
      </c>
      <c r="P22" s="25" t="s">
        <v>100</v>
      </c>
      <c r="Q22" s="26" t="s">
        <v>109</v>
      </c>
    </row>
    <row r="23" spans="1:17" ht="28.8" x14ac:dyDescent="0.3">
      <c r="A23" s="69">
        <f>+A22+1</f>
        <v>16</v>
      </c>
      <c r="B23" s="27" t="s">
        <v>64</v>
      </c>
      <c r="C23" s="28" t="s">
        <v>103</v>
      </c>
      <c r="D23" s="28" t="s">
        <v>104</v>
      </c>
      <c r="E23" s="28" t="s">
        <v>17</v>
      </c>
      <c r="F23" s="28" t="s">
        <v>154</v>
      </c>
      <c r="G23" s="28" t="s">
        <v>97</v>
      </c>
      <c r="H23" s="28" t="s">
        <v>98</v>
      </c>
      <c r="I23" s="28" t="s">
        <v>80</v>
      </c>
      <c r="J23" s="47">
        <v>22</v>
      </c>
      <c r="K23" s="1" t="s">
        <v>17</v>
      </c>
      <c r="L23" s="77">
        <v>3.0000000000000001E-3</v>
      </c>
      <c r="M23" s="77">
        <v>0.05</v>
      </c>
      <c r="N23" s="65" t="s">
        <v>105</v>
      </c>
      <c r="O23" s="28" t="s">
        <v>57</v>
      </c>
      <c r="P23" s="28" t="s">
        <v>100</v>
      </c>
      <c r="Q23" s="29" t="s">
        <v>109</v>
      </c>
    </row>
    <row r="24" spans="1:17" ht="28.8" x14ac:dyDescent="0.3">
      <c r="A24" s="70">
        <f>+A23</f>
        <v>16</v>
      </c>
      <c r="B24" s="6" t="s">
        <v>64</v>
      </c>
      <c r="C24" s="7" t="s">
        <v>103</v>
      </c>
      <c r="D24" s="7" t="s">
        <v>104</v>
      </c>
      <c r="E24" s="7" t="s">
        <v>17</v>
      </c>
      <c r="F24" s="7" t="s">
        <v>154</v>
      </c>
      <c r="G24" s="7" t="s">
        <v>97</v>
      </c>
      <c r="H24" s="7" t="s">
        <v>101</v>
      </c>
      <c r="I24" s="7" t="s">
        <v>80</v>
      </c>
      <c r="J24" s="51">
        <v>23</v>
      </c>
      <c r="K24" s="39" t="s">
        <v>17</v>
      </c>
      <c r="L24" s="66">
        <v>2030</v>
      </c>
      <c r="M24" s="66">
        <v>2040</v>
      </c>
      <c r="N24" s="66" t="s">
        <v>105</v>
      </c>
      <c r="O24" s="7" t="s">
        <v>57</v>
      </c>
      <c r="P24" s="7" t="s">
        <v>100</v>
      </c>
      <c r="Q24" s="23" t="s">
        <v>109</v>
      </c>
    </row>
    <row r="25" spans="1:17" ht="29.4" thickBot="1" x14ac:dyDescent="0.35">
      <c r="A25" s="71">
        <f>+A24</f>
        <v>16</v>
      </c>
      <c r="B25" s="24" t="s">
        <v>64</v>
      </c>
      <c r="C25" s="25" t="s">
        <v>103</v>
      </c>
      <c r="D25" s="25" t="s">
        <v>104</v>
      </c>
      <c r="E25" s="25" t="s">
        <v>17</v>
      </c>
      <c r="F25" s="25" t="s">
        <v>154</v>
      </c>
      <c r="G25" s="25" t="s">
        <v>97</v>
      </c>
      <c r="H25" s="25" t="s">
        <v>102</v>
      </c>
      <c r="I25" s="25" t="s">
        <v>80</v>
      </c>
      <c r="J25" s="51">
        <v>24</v>
      </c>
      <c r="K25" s="40">
        <f>+J24</f>
        <v>23</v>
      </c>
      <c r="L25" s="78">
        <v>0</v>
      </c>
      <c r="M25" s="78">
        <v>0.01</v>
      </c>
      <c r="N25" s="67" t="s">
        <v>105</v>
      </c>
      <c r="O25" s="25" t="s">
        <v>57</v>
      </c>
      <c r="P25" s="25" t="s">
        <v>100</v>
      </c>
      <c r="Q25" s="26" t="s">
        <v>109</v>
      </c>
    </row>
    <row r="26" spans="1:17" ht="28.8" x14ac:dyDescent="0.3">
      <c r="A26" s="69">
        <f>+A25+1</f>
        <v>17</v>
      </c>
      <c r="B26" s="27" t="s">
        <v>67</v>
      </c>
      <c r="C26" s="27" t="s">
        <v>59</v>
      </c>
      <c r="D26" s="28" t="s">
        <v>60</v>
      </c>
      <c r="E26" s="28" t="s">
        <v>17</v>
      </c>
      <c r="F26" s="28" t="s">
        <v>154</v>
      </c>
      <c r="G26" s="28" t="s">
        <v>97</v>
      </c>
      <c r="H26" s="28" t="s">
        <v>98</v>
      </c>
      <c r="I26" s="28" t="s">
        <v>80</v>
      </c>
      <c r="J26" s="47">
        <v>25</v>
      </c>
      <c r="K26" s="1" t="s">
        <v>17</v>
      </c>
      <c r="L26" s="77">
        <v>0.03</v>
      </c>
      <c r="M26" s="77">
        <v>0.7</v>
      </c>
      <c r="N26" s="65" t="s">
        <v>119</v>
      </c>
      <c r="O26" s="28" t="s">
        <v>57</v>
      </c>
      <c r="P26" s="28" t="s">
        <v>100</v>
      </c>
      <c r="Q26" s="29" t="s">
        <v>109</v>
      </c>
    </row>
    <row r="27" spans="1:17" ht="28.8" x14ac:dyDescent="0.3">
      <c r="A27" s="70">
        <f>+A26</f>
        <v>17</v>
      </c>
      <c r="B27" s="6" t="s">
        <v>67</v>
      </c>
      <c r="C27" s="6" t="s">
        <v>59</v>
      </c>
      <c r="D27" s="7" t="s">
        <v>60</v>
      </c>
      <c r="E27" s="7" t="s">
        <v>17</v>
      </c>
      <c r="F27" s="7" t="s">
        <v>154</v>
      </c>
      <c r="G27" s="7" t="s">
        <v>97</v>
      </c>
      <c r="H27" s="7" t="s">
        <v>101</v>
      </c>
      <c r="I27" s="7" t="s">
        <v>80</v>
      </c>
      <c r="J27" s="51">
        <v>26</v>
      </c>
      <c r="K27" s="39" t="s">
        <v>17</v>
      </c>
      <c r="L27" s="66">
        <v>2030</v>
      </c>
      <c r="M27" s="66">
        <v>2040</v>
      </c>
      <c r="N27" s="66" t="s">
        <v>119</v>
      </c>
      <c r="O27" s="7" t="s">
        <v>57</v>
      </c>
      <c r="P27" s="7" t="s">
        <v>100</v>
      </c>
      <c r="Q27" s="23" t="s">
        <v>109</v>
      </c>
    </row>
    <row r="28" spans="1:17" ht="29.4" thickBot="1" x14ac:dyDescent="0.35">
      <c r="A28" s="71">
        <f>+A27</f>
        <v>17</v>
      </c>
      <c r="B28" s="24" t="s">
        <v>67</v>
      </c>
      <c r="C28" s="24" t="s">
        <v>59</v>
      </c>
      <c r="D28" s="25" t="s">
        <v>60</v>
      </c>
      <c r="E28" s="25" t="s">
        <v>17</v>
      </c>
      <c r="F28" s="25" t="s">
        <v>154</v>
      </c>
      <c r="G28" s="25" t="s">
        <v>97</v>
      </c>
      <c r="H28" s="25" t="s">
        <v>102</v>
      </c>
      <c r="I28" s="25" t="s">
        <v>80</v>
      </c>
      <c r="J28" s="56">
        <v>27</v>
      </c>
      <c r="K28" s="40">
        <f>+J27</f>
        <v>26</v>
      </c>
      <c r="L28" s="78">
        <v>0.01</v>
      </c>
      <c r="M28" s="78">
        <v>0.3</v>
      </c>
      <c r="N28" s="67" t="s">
        <v>119</v>
      </c>
      <c r="O28" s="25" t="s">
        <v>57</v>
      </c>
      <c r="P28" s="25" t="s">
        <v>100</v>
      </c>
      <c r="Q28" s="26" t="s">
        <v>109</v>
      </c>
    </row>
    <row r="29" spans="1:17" ht="28.8" x14ac:dyDescent="0.3">
      <c r="A29" s="69">
        <f>+A28+1</f>
        <v>18</v>
      </c>
      <c r="B29" s="27" t="s">
        <v>74</v>
      </c>
      <c r="C29" s="27" t="s">
        <v>120</v>
      </c>
      <c r="D29" s="28" t="s">
        <v>60</v>
      </c>
      <c r="E29" s="28" t="s">
        <v>17</v>
      </c>
      <c r="F29" s="28" t="s">
        <v>154</v>
      </c>
      <c r="G29" s="28" t="s">
        <v>97</v>
      </c>
      <c r="H29" s="28" t="s">
        <v>98</v>
      </c>
      <c r="I29" s="28" t="s">
        <v>80</v>
      </c>
      <c r="J29" s="47">
        <v>28</v>
      </c>
      <c r="K29" s="1" t="s">
        <v>17</v>
      </c>
      <c r="L29" s="77">
        <v>0.03</v>
      </c>
      <c r="M29" s="77">
        <v>0.35</v>
      </c>
      <c r="N29" s="65" t="s">
        <v>127</v>
      </c>
      <c r="O29" s="28" t="s">
        <v>57</v>
      </c>
      <c r="P29" s="28" t="s">
        <v>100</v>
      </c>
      <c r="Q29" s="29" t="s">
        <v>109</v>
      </c>
    </row>
    <row r="30" spans="1:17" ht="28.8" x14ac:dyDescent="0.3">
      <c r="A30" s="70">
        <f>+A29</f>
        <v>18</v>
      </c>
      <c r="B30" s="6" t="s">
        <v>74</v>
      </c>
      <c r="C30" s="6" t="s">
        <v>120</v>
      </c>
      <c r="D30" s="7" t="s">
        <v>60</v>
      </c>
      <c r="E30" s="7" t="s">
        <v>17</v>
      </c>
      <c r="F30" s="7" t="s">
        <v>154</v>
      </c>
      <c r="G30" s="7" t="s">
        <v>97</v>
      </c>
      <c r="H30" s="7" t="s">
        <v>101</v>
      </c>
      <c r="I30" s="7" t="s">
        <v>80</v>
      </c>
      <c r="J30" s="51">
        <v>29</v>
      </c>
      <c r="K30" s="39" t="s">
        <v>17</v>
      </c>
      <c r="L30" s="66">
        <v>2035</v>
      </c>
      <c r="M30" s="66">
        <v>2045</v>
      </c>
      <c r="N30" s="66" t="s">
        <v>127</v>
      </c>
      <c r="O30" s="7" t="s">
        <v>57</v>
      </c>
      <c r="P30" s="7" t="s">
        <v>100</v>
      </c>
      <c r="Q30" s="23" t="s">
        <v>109</v>
      </c>
    </row>
    <row r="31" spans="1:17" ht="29.4" thickBot="1" x14ac:dyDescent="0.35">
      <c r="A31" s="71">
        <f>+A30</f>
        <v>18</v>
      </c>
      <c r="B31" s="24" t="s">
        <v>74</v>
      </c>
      <c r="C31" s="24" t="s">
        <v>120</v>
      </c>
      <c r="D31" s="25" t="s">
        <v>60</v>
      </c>
      <c r="E31" s="25" t="s">
        <v>17</v>
      </c>
      <c r="F31" s="25" t="s">
        <v>154</v>
      </c>
      <c r="G31" s="25" t="s">
        <v>97</v>
      </c>
      <c r="H31" s="25" t="s">
        <v>102</v>
      </c>
      <c r="I31" s="25" t="s">
        <v>80</v>
      </c>
      <c r="J31" s="51">
        <v>30</v>
      </c>
      <c r="K31" s="40">
        <f>+J30</f>
        <v>29</v>
      </c>
      <c r="L31" s="78">
        <v>0.01</v>
      </c>
      <c r="M31" s="78">
        <v>0.15</v>
      </c>
      <c r="N31" s="67" t="s">
        <v>127</v>
      </c>
      <c r="O31" s="25" t="s">
        <v>57</v>
      </c>
      <c r="P31" s="25" t="s">
        <v>100</v>
      </c>
      <c r="Q31" s="26" t="s">
        <v>109</v>
      </c>
    </row>
    <row r="32" spans="1:17" ht="28.8" x14ac:dyDescent="0.3">
      <c r="A32" s="69">
        <f>+A31+1</f>
        <v>19</v>
      </c>
      <c r="B32" s="27" t="s">
        <v>75</v>
      </c>
      <c r="C32" s="27" t="s">
        <v>62</v>
      </c>
      <c r="D32" s="28" t="s">
        <v>63</v>
      </c>
      <c r="E32" s="28" t="s">
        <v>17</v>
      </c>
      <c r="F32" s="28" t="s">
        <v>154</v>
      </c>
      <c r="G32" s="28" t="s">
        <v>97</v>
      </c>
      <c r="H32" s="28" t="s">
        <v>98</v>
      </c>
      <c r="I32" s="28" t="s">
        <v>80</v>
      </c>
      <c r="J32" s="47">
        <v>31</v>
      </c>
      <c r="K32" s="1" t="s">
        <v>17</v>
      </c>
      <c r="L32" s="77">
        <v>0.03</v>
      </c>
      <c r="M32" s="77">
        <v>0.35</v>
      </c>
      <c r="N32" s="65" t="s">
        <v>106</v>
      </c>
      <c r="O32" s="28" t="s">
        <v>57</v>
      </c>
      <c r="P32" s="28" t="s">
        <v>100</v>
      </c>
      <c r="Q32" s="29" t="s">
        <v>109</v>
      </c>
    </row>
    <row r="33" spans="1:17" ht="28.8" x14ac:dyDescent="0.3">
      <c r="A33" s="70">
        <f>+A32</f>
        <v>19</v>
      </c>
      <c r="B33" s="6" t="s">
        <v>75</v>
      </c>
      <c r="C33" s="6" t="s">
        <v>62</v>
      </c>
      <c r="D33" s="7" t="s">
        <v>63</v>
      </c>
      <c r="E33" s="7" t="s">
        <v>17</v>
      </c>
      <c r="F33" s="7" t="s">
        <v>154</v>
      </c>
      <c r="G33" s="7" t="s">
        <v>97</v>
      </c>
      <c r="H33" s="7" t="s">
        <v>101</v>
      </c>
      <c r="I33" s="7" t="s">
        <v>80</v>
      </c>
      <c r="J33" s="51">
        <v>32</v>
      </c>
      <c r="K33" s="39" t="s">
        <v>17</v>
      </c>
      <c r="L33" s="66">
        <v>2030</v>
      </c>
      <c r="M33" s="66">
        <v>2040</v>
      </c>
      <c r="N33" s="66" t="s">
        <v>106</v>
      </c>
      <c r="O33" s="7" t="s">
        <v>57</v>
      </c>
      <c r="P33" s="7" t="s">
        <v>100</v>
      </c>
      <c r="Q33" s="23" t="s">
        <v>109</v>
      </c>
    </row>
    <row r="34" spans="1:17" ht="29.4" thickBot="1" x14ac:dyDescent="0.35">
      <c r="A34" s="71">
        <f>+A33</f>
        <v>19</v>
      </c>
      <c r="B34" s="24" t="s">
        <v>75</v>
      </c>
      <c r="C34" s="24" t="s">
        <v>62</v>
      </c>
      <c r="D34" s="25" t="s">
        <v>63</v>
      </c>
      <c r="E34" s="25" t="s">
        <v>17</v>
      </c>
      <c r="F34" s="25" t="s">
        <v>154</v>
      </c>
      <c r="G34" s="25" t="s">
        <v>97</v>
      </c>
      <c r="H34" s="25" t="s">
        <v>102</v>
      </c>
      <c r="I34" s="25" t="s">
        <v>80</v>
      </c>
      <c r="J34" s="56">
        <v>33</v>
      </c>
      <c r="K34" s="40">
        <f>+J33</f>
        <v>32</v>
      </c>
      <c r="L34" s="78">
        <v>0.01</v>
      </c>
      <c r="M34" s="78">
        <v>0.15</v>
      </c>
      <c r="N34" s="67" t="s">
        <v>106</v>
      </c>
      <c r="O34" s="25" t="s">
        <v>57</v>
      </c>
      <c r="P34" s="25" t="s">
        <v>100</v>
      </c>
      <c r="Q34" s="26" t="s">
        <v>109</v>
      </c>
    </row>
    <row r="35" spans="1:17" ht="28.8" x14ac:dyDescent="0.3">
      <c r="A35" s="69">
        <f>+A34+1</f>
        <v>20</v>
      </c>
      <c r="B35" s="27" t="s">
        <v>76</v>
      </c>
      <c r="C35" s="27" t="s">
        <v>65</v>
      </c>
      <c r="D35" s="28" t="s">
        <v>66</v>
      </c>
      <c r="E35" s="28" t="s">
        <v>17</v>
      </c>
      <c r="F35" s="28" t="s">
        <v>154</v>
      </c>
      <c r="G35" s="28" t="s">
        <v>97</v>
      </c>
      <c r="H35" s="28" t="s">
        <v>98</v>
      </c>
      <c r="I35" s="28" t="s">
        <v>80</v>
      </c>
      <c r="J35" s="47">
        <v>34</v>
      </c>
      <c r="K35" s="1" t="s">
        <v>17</v>
      </c>
      <c r="L35" s="77">
        <v>0.03</v>
      </c>
      <c r="M35" s="77">
        <v>0.3</v>
      </c>
      <c r="N35" s="65" t="s">
        <v>107</v>
      </c>
      <c r="O35" s="28" t="s">
        <v>57</v>
      </c>
      <c r="P35" s="28" t="s">
        <v>100</v>
      </c>
      <c r="Q35" s="29" t="s">
        <v>109</v>
      </c>
    </row>
    <row r="36" spans="1:17" ht="28.8" x14ac:dyDescent="0.3">
      <c r="A36" s="70">
        <f>+A35</f>
        <v>20</v>
      </c>
      <c r="B36" s="6" t="s">
        <v>76</v>
      </c>
      <c r="C36" s="6" t="s">
        <v>65</v>
      </c>
      <c r="D36" s="7" t="s">
        <v>66</v>
      </c>
      <c r="E36" s="7" t="s">
        <v>17</v>
      </c>
      <c r="F36" s="7" t="s">
        <v>154</v>
      </c>
      <c r="G36" s="7" t="s">
        <v>97</v>
      </c>
      <c r="H36" s="7" t="s">
        <v>101</v>
      </c>
      <c r="I36" s="7" t="s">
        <v>80</v>
      </c>
      <c r="J36" s="51">
        <v>35</v>
      </c>
      <c r="K36" s="39" t="s">
        <v>17</v>
      </c>
      <c r="L36" s="66">
        <v>2035</v>
      </c>
      <c r="M36" s="66">
        <v>2045</v>
      </c>
      <c r="N36" s="66" t="s">
        <v>107</v>
      </c>
      <c r="O36" s="7" t="s">
        <v>57</v>
      </c>
      <c r="P36" s="7" t="s">
        <v>100</v>
      </c>
      <c r="Q36" s="23" t="s">
        <v>109</v>
      </c>
    </row>
    <row r="37" spans="1:17" ht="29.4" thickBot="1" x14ac:dyDescent="0.35">
      <c r="A37" s="71">
        <f>+A36</f>
        <v>20</v>
      </c>
      <c r="B37" s="24" t="s">
        <v>76</v>
      </c>
      <c r="C37" s="24" t="s">
        <v>65</v>
      </c>
      <c r="D37" s="25" t="s">
        <v>66</v>
      </c>
      <c r="E37" s="25" t="s">
        <v>17</v>
      </c>
      <c r="F37" s="25" t="s">
        <v>154</v>
      </c>
      <c r="G37" s="25" t="s">
        <v>97</v>
      </c>
      <c r="H37" s="25" t="s">
        <v>102</v>
      </c>
      <c r="I37" s="25" t="s">
        <v>80</v>
      </c>
      <c r="J37" s="51">
        <v>36</v>
      </c>
      <c r="K37" s="40">
        <f>+J36</f>
        <v>35</v>
      </c>
      <c r="L37" s="78">
        <v>0.01</v>
      </c>
      <c r="M37" s="78">
        <v>0.15</v>
      </c>
      <c r="N37" s="67" t="s">
        <v>107</v>
      </c>
      <c r="O37" s="25" t="s">
        <v>57</v>
      </c>
      <c r="P37" s="25" t="s">
        <v>100</v>
      </c>
      <c r="Q37" s="26" t="s">
        <v>109</v>
      </c>
    </row>
    <row r="38" spans="1:17" ht="28.8" x14ac:dyDescent="0.3">
      <c r="A38" s="69">
        <f>+A37+1</f>
        <v>21</v>
      </c>
      <c r="B38" s="27" t="s">
        <v>112</v>
      </c>
      <c r="C38" s="28" t="s">
        <v>68</v>
      </c>
      <c r="D38" s="28" t="s">
        <v>69</v>
      </c>
      <c r="E38" s="28" t="s">
        <v>17</v>
      </c>
      <c r="F38" s="28" t="s">
        <v>154</v>
      </c>
      <c r="G38" s="28" t="s">
        <v>97</v>
      </c>
      <c r="H38" s="28" t="s">
        <v>98</v>
      </c>
      <c r="I38" s="28" t="s">
        <v>80</v>
      </c>
      <c r="J38" s="47">
        <v>37</v>
      </c>
      <c r="K38" s="1" t="s">
        <v>17</v>
      </c>
      <c r="L38" s="77">
        <v>0</v>
      </c>
      <c r="M38" s="77">
        <v>0.15</v>
      </c>
      <c r="N38" s="65" t="s">
        <v>108</v>
      </c>
      <c r="O38" s="28" t="s">
        <v>57</v>
      </c>
      <c r="P38" s="28" t="s">
        <v>100</v>
      </c>
      <c r="Q38" s="29" t="s">
        <v>109</v>
      </c>
    </row>
    <row r="39" spans="1:17" ht="28.8" x14ac:dyDescent="0.3">
      <c r="A39" s="70">
        <f>+A38</f>
        <v>21</v>
      </c>
      <c r="B39" s="6" t="str">
        <f>+B38</f>
        <v>L_E_11</v>
      </c>
      <c r="C39" s="7" t="s">
        <v>68</v>
      </c>
      <c r="D39" s="7" t="s">
        <v>69</v>
      </c>
      <c r="E39" s="7" t="s">
        <v>17</v>
      </c>
      <c r="F39" s="7" t="s">
        <v>154</v>
      </c>
      <c r="G39" s="7" t="s">
        <v>97</v>
      </c>
      <c r="H39" s="7" t="s">
        <v>101</v>
      </c>
      <c r="I39" s="7" t="s">
        <v>80</v>
      </c>
      <c r="J39" s="51">
        <v>38</v>
      </c>
      <c r="K39" s="39" t="s">
        <v>17</v>
      </c>
      <c r="L39" s="66">
        <v>2035</v>
      </c>
      <c r="M39" s="66">
        <v>2040</v>
      </c>
      <c r="N39" s="66" t="s">
        <v>108</v>
      </c>
      <c r="O39" s="7" t="s">
        <v>57</v>
      </c>
      <c r="P39" s="7" t="s">
        <v>100</v>
      </c>
      <c r="Q39" s="23" t="s">
        <v>109</v>
      </c>
    </row>
    <row r="40" spans="1:17" ht="29.4" thickBot="1" x14ac:dyDescent="0.35">
      <c r="A40" s="71">
        <f>+A39</f>
        <v>21</v>
      </c>
      <c r="B40" s="24" t="str">
        <f>+B39</f>
        <v>L_E_11</v>
      </c>
      <c r="C40" s="25" t="s">
        <v>68</v>
      </c>
      <c r="D40" s="25" t="s">
        <v>69</v>
      </c>
      <c r="E40" s="25" t="s">
        <v>17</v>
      </c>
      <c r="F40" s="25" t="s">
        <v>154</v>
      </c>
      <c r="G40" s="25" t="s">
        <v>97</v>
      </c>
      <c r="H40" s="25" t="s">
        <v>102</v>
      </c>
      <c r="I40" s="25" t="s">
        <v>80</v>
      </c>
      <c r="J40" s="56">
        <v>39</v>
      </c>
      <c r="K40" s="40">
        <f>+J39</f>
        <v>38</v>
      </c>
      <c r="L40" s="78">
        <v>0</v>
      </c>
      <c r="M40" s="78">
        <v>0.08</v>
      </c>
      <c r="N40" s="67" t="s">
        <v>108</v>
      </c>
      <c r="O40" s="25" t="s">
        <v>57</v>
      </c>
      <c r="P40" s="25" t="s">
        <v>100</v>
      </c>
      <c r="Q40" s="26" t="s">
        <v>109</v>
      </c>
    </row>
    <row r="41" spans="1:17" ht="28.8" x14ac:dyDescent="0.3">
      <c r="A41" s="69">
        <v>22</v>
      </c>
      <c r="B41" s="27" t="s">
        <v>118</v>
      </c>
      <c r="C41" s="27" t="s">
        <v>125</v>
      </c>
      <c r="D41" s="28" t="s">
        <v>60</v>
      </c>
      <c r="E41" s="28" t="s">
        <v>17</v>
      </c>
      <c r="F41" s="28" t="s">
        <v>154</v>
      </c>
      <c r="G41" s="28" t="s">
        <v>97</v>
      </c>
      <c r="H41" s="28" t="s">
        <v>98</v>
      </c>
      <c r="I41" s="28" t="s">
        <v>80</v>
      </c>
      <c r="J41" s="47">
        <v>40</v>
      </c>
      <c r="K41" s="1" t="s">
        <v>17</v>
      </c>
      <c r="L41" s="77">
        <v>0.05</v>
      </c>
      <c r="M41" s="77">
        <v>0.95</v>
      </c>
      <c r="N41" s="65" t="s">
        <v>126</v>
      </c>
      <c r="O41" s="28" t="s">
        <v>57</v>
      </c>
      <c r="P41" s="28" t="s">
        <v>100</v>
      </c>
      <c r="Q41" s="29" t="s">
        <v>109</v>
      </c>
    </row>
    <row r="42" spans="1:17" ht="28.8" x14ac:dyDescent="0.3">
      <c r="A42" s="70">
        <v>22</v>
      </c>
      <c r="B42" s="6" t="s">
        <v>118</v>
      </c>
      <c r="C42" s="6" t="s">
        <v>125</v>
      </c>
      <c r="D42" s="7" t="s">
        <v>60</v>
      </c>
      <c r="E42" s="7" t="s">
        <v>17</v>
      </c>
      <c r="F42" s="7" t="s">
        <v>154</v>
      </c>
      <c r="G42" s="7" t="s">
        <v>97</v>
      </c>
      <c r="H42" s="7" t="s">
        <v>101</v>
      </c>
      <c r="I42" s="7" t="s">
        <v>80</v>
      </c>
      <c r="J42" s="51">
        <v>41</v>
      </c>
      <c r="K42" s="39" t="s">
        <v>17</v>
      </c>
      <c r="L42" s="66">
        <v>2030</v>
      </c>
      <c r="M42" s="66">
        <v>2040</v>
      </c>
      <c r="N42" s="66" t="s">
        <v>126</v>
      </c>
      <c r="O42" s="7" t="s">
        <v>57</v>
      </c>
      <c r="P42" s="7" t="s">
        <v>100</v>
      </c>
      <c r="Q42" s="23" t="s">
        <v>109</v>
      </c>
    </row>
    <row r="43" spans="1:17" ht="29.4" thickBot="1" x14ac:dyDescent="0.35">
      <c r="A43" s="71">
        <v>22</v>
      </c>
      <c r="B43" s="24" t="s">
        <v>118</v>
      </c>
      <c r="C43" s="24" t="s">
        <v>125</v>
      </c>
      <c r="D43" s="25" t="s">
        <v>60</v>
      </c>
      <c r="E43" s="25" t="s">
        <v>17</v>
      </c>
      <c r="F43" s="25" t="s">
        <v>154</v>
      </c>
      <c r="G43" s="25" t="s">
        <v>97</v>
      </c>
      <c r="H43" s="25" t="s">
        <v>102</v>
      </c>
      <c r="I43" s="25" t="s">
        <v>80</v>
      </c>
      <c r="J43" s="51">
        <v>42</v>
      </c>
      <c r="K43" s="40">
        <f>+J42</f>
        <v>41</v>
      </c>
      <c r="L43" s="78">
        <v>0.01</v>
      </c>
      <c r="M43" s="78">
        <v>0.3</v>
      </c>
      <c r="N43" s="67" t="s">
        <v>126</v>
      </c>
      <c r="O43" s="25" t="s">
        <v>57</v>
      </c>
      <c r="P43" s="25" t="s">
        <v>100</v>
      </c>
      <c r="Q43" s="26" t="s">
        <v>109</v>
      </c>
    </row>
    <row r="44" spans="1:17" ht="43.8" thickBot="1" x14ac:dyDescent="0.35">
      <c r="A44" s="30">
        <v>23</v>
      </c>
      <c r="B44" s="31" t="s">
        <v>124</v>
      </c>
      <c r="C44" s="31" t="s">
        <v>70</v>
      </c>
      <c r="D44" s="32" t="s">
        <v>71</v>
      </c>
      <c r="E44" s="32" t="s">
        <v>17</v>
      </c>
      <c r="F44" s="32" t="s">
        <v>155</v>
      </c>
      <c r="G44" s="32" t="s">
        <v>22</v>
      </c>
      <c r="H44" s="32" t="s">
        <v>23</v>
      </c>
      <c r="I44" s="32" t="s">
        <v>24</v>
      </c>
      <c r="J44" s="84">
        <v>43</v>
      </c>
      <c r="K44" s="81" t="s">
        <v>17</v>
      </c>
      <c r="L44" s="85">
        <v>0.99990000000000001</v>
      </c>
      <c r="M44" s="59">
        <v>1.0001</v>
      </c>
      <c r="N44" s="61" t="s">
        <v>83</v>
      </c>
      <c r="O44" s="32" t="s">
        <v>72</v>
      </c>
      <c r="P44" s="32" t="s">
        <v>73</v>
      </c>
      <c r="Q44" s="33" t="s">
        <v>109</v>
      </c>
    </row>
    <row r="45" spans="1:17" ht="72.599999999999994" thickBot="1" x14ac:dyDescent="0.35">
      <c r="A45" s="86">
        <v>24</v>
      </c>
      <c r="B45" s="87" t="s">
        <v>144</v>
      </c>
      <c r="C45" s="36" t="s">
        <v>148</v>
      </c>
      <c r="D45" s="36" t="s">
        <v>150</v>
      </c>
      <c r="E45" s="36" t="s">
        <v>17</v>
      </c>
      <c r="F45" s="43" t="s">
        <v>154</v>
      </c>
      <c r="G45" s="36" t="s">
        <v>22</v>
      </c>
      <c r="H45" s="36" t="s">
        <v>23</v>
      </c>
      <c r="I45" s="80" t="s">
        <v>24</v>
      </c>
      <c r="J45" s="81">
        <v>44</v>
      </c>
      <c r="K45" s="82" t="s">
        <v>17</v>
      </c>
      <c r="L45" s="60">
        <v>0.92</v>
      </c>
      <c r="M45" s="60">
        <v>1.08</v>
      </c>
      <c r="N45" s="60" t="s">
        <v>149</v>
      </c>
      <c r="O45" s="36" t="s">
        <v>19</v>
      </c>
      <c r="P45" s="36" t="s">
        <v>84</v>
      </c>
      <c r="Q45" s="37" t="s">
        <v>109</v>
      </c>
    </row>
    <row r="46" spans="1:17" ht="31.8" customHeight="1" thickBot="1" x14ac:dyDescent="0.35">
      <c r="A46" s="30">
        <v>25</v>
      </c>
      <c r="B46" s="87" t="s">
        <v>147</v>
      </c>
      <c r="C46" s="36" t="s">
        <v>142</v>
      </c>
      <c r="D46" s="36" t="s">
        <v>143</v>
      </c>
      <c r="E46" s="36" t="s">
        <v>17</v>
      </c>
      <c r="F46" s="36" t="s">
        <v>152</v>
      </c>
      <c r="G46" s="36" t="s">
        <v>22</v>
      </c>
      <c r="H46" s="36" t="s">
        <v>23</v>
      </c>
      <c r="I46" s="80" t="s">
        <v>24</v>
      </c>
      <c r="J46" s="83">
        <v>45</v>
      </c>
      <c r="K46" s="82" t="s">
        <v>17</v>
      </c>
      <c r="L46" s="88">
        <v>0.99990000000000001</v>
      </c>
      <c r="M46" s="61">
        <v>1.0001</v>
      </c>
      <c r="N46" s="60" t="s">
        <v>145</v>
      </c>
      <c r="O46" s="36" t="s">
        <v>19</v>
      </c>
      <c r="P46" s="36" t="s">
        <v>84</v>
      </c>
      <c r="Q46" s="37" t="s">
        <v>109</v>
      </c>
    </row>
    <row r="47" spans="1:17" ht="31.8" customHeight="1" thickBot="1" x14ac:dyDescent="0.35">
      <c r="A47" s="30">
        <v>26</v>
      </c>
      <c r="B47" s="87" t="s">
        <v>151</v>
      </c>
      <c r="C47" s="36" t="s">
        <v>142</v>
      </c>
      <c r="D47" s="36" t="s">
        <v>143</v>
      </c>
      <c r="E47" s="36" t="s">
        <v>17</v>
      </c>
      <c r="F47" s="36" t="s">
        <v>154</v>
      </c>
      <c r="G47" s="36" t="s">
        <v>22</v>
      </c>
      <c r="H47" s="36" t="s">
        <v>23</v>
      </c>
      <c r="I47" s="80" t="s">
        <v>24</v>
      </c>
      <c r="J47" s="83">
        <v>46</v>
      </c>
      <c r="K47" s="82" t="s">
        <v>17</v>
      </c>
      <c r="L47" s="61">
        <v>0.8</v>
      </c>
      <c r="M47" s="61">
        <v>1.2</v>
      </c>
      <c r="N47" s="60" t="s">
        <v>145</v>
      </c>
      <c r="O47" s="36" t="s">
        <v>19</v>
      </c>
      <c r="P47" s="36" t="s">
        <v>84</v>
      </c>
      <c r="Q47" s="37" t="s">
        <v>109</v>
      </c>
    </row>
    <row r="48" spans="1:17" ht="29.4" thickBot="1" x14ac:dyDescent="0.35">
      <c r="A48" s="79">
        <v>27</v>
      </c>
      <c r="B48" s="36" t="s">
        <v>153</v>
      </c>
      <c r="C48" s="36" t="s">
        <v>130</v>
      </c>
      <c r="D48" s="36" t="s">
        <v>131</v>
      </c>
      <c r="E48" s="36" t="s">
        <v>17</v>
      </c>
      <c r="F48" s="36" t="s">
        <v>154</v>
      </c>
      <c r="G48" s="36" t="s">
        <v>132</v>
      </c>
      <c r="H48" s="36" t="s">
        <v>23</v>
      </c>
      <c r="I48" s="80" t="s">
        <v>24</v>
      </c>
      <c r="J48" s="81">
        <v>47</v>
      </c>
      <c r="K48" s="82" t="s">
        <v>17</v>
      </c>
      <c r="L48" s="43">
        <v>0.15</v>
      </c>
      <c r="M48" s="43">
        <v>5</v>
      </c>
      <c r="N48" s="60" t="s">
        <v>146</v>
      </c>
      <c r="O48" s="36" t="s">
        <v>133</v>
      </c>
      <c r="P48" s="36" t="s">
        <v>25</v>
      </c>
      <c r="Q48" s="37" t="s">
        <v>109</v>
      </c>
    </row>
    <row r="49" spans="1:17" ht="29.4" thickBot="1" x14ac:dyDescent="0.35">
      <c r="A49" s="79">
        <v>28</v>
      </c>
      <c r="B49" s="36" t="s">
        <v>136</v>
      </c>
      <c r="C49" s="36" t="s">
        <v>130</v>
      </c>
      <c r="D49" s="36" t="s">
        <v>134</v>
      </c>
      <c r="E49" s="36" t="s">
        <v>17</v>
      </c>
      <c r="F49" s="36" t="s">
        <v>154</v>
      </c>
      <c r="G49" s="36" t="s">
        <v>135</v>
      </c>
      <c r="H49" s="36" t="s">
        <v>23</v>
      </c>
      <c r="I49" s="80" t="s">
        <v>24</v>
      </c>
      <c r="J49" s="81">
        <f>J48+1</f>
        <v>48</v>
      </c>
      <c r="K49" s="82" t="s">
        <v>17</v>
      </c>
      <c r="L49" s="88">
        <v>0.99990000000000001</v>
      </c>
      <c r="M49" s="61">
        <v>1.0001</v>
      </c>
      <c r="N49" s="60" t="s">
        <v>140</v>
      </c>
      <c r="O49" s="36" t="s">
        <v>133</v>
      </c>
      <c r="P49" s="36" t="s">
        <v>25</v>
      </c>
      <c r="Q49" s="37" t="s">
        <v>109</v>
      </c>
    </row>
    <row r="50" spans="1:17" ht="29.4" thickBot="1" x14ac:dyDescent="0.35">
      <c r="A50" s="79">
        <v>29</v>
      </c>
      <c r="B50" s="36" t="s">
        <v>139</v>
      </c>
      <c r="C50" s="36" t="s">
        <v>130</v>
      </c>
      <c r="D50" s="36" t="s">
        <v>137</v>
      </c>
      <c r="E50" s="36" t="s">
        <v>17</v>
      </c>
      <c r="F50" s="36" t="s">
        <v>154</v>
      </c>
      <c r="G50" s="36" t="s">
        <v>138</v>
      </c>
      <c r="H50" s="36" t="s">
        <v>23</v>
      </c>
      <c r="I50" s="80" t="s">
        <v>24</v>
      </c>
      <c r="J50" s="81">
        <f t="shared" ref="J50" si="1">J49+1</f>
        <v>49</v>
      </c>
      <c r="K50" s="82" t="s">
        <v>17</v>
      </c>
      <c r="L50" s="43">
        <v>0.25</v>
      </c>
      <c r="M50" s="43">
        <v>5</v>
      </c>
      <c r="N50" s="60" t="s">
        <v>141</v>
      </c>
      <c r="O50" s="36" t="s">
        <v>133</v>
      </c>
      <c r="P50" s="36" t="s">
        <v>25</v>
      </c>
      <c r="Q50" s="37" t="s">
        <v>109</v>
      </c>
    </row>
    <row r="59" spans="1:17" x14ac:dyDescent="0.3">
      <c r="N59"/>
    </row>
    <row r="60" spans="1:17" x14ac:dyDescent="0.3">
      <c r="N60"/>
    </row>
    <row r="61" spans="1:17" x14ac:dyDescent="0.3">
      <c r="N61"/>
    </row>
    <row r="62" spans="1:17" x14ac:dyDescent="0.3">
      <c r="N62"/>
    </row>
    <row r="63" spans="1:17" x14ac:dyDescent="0.3">
      <c r="N63"/>
    </row>
    <row r="64" spans="1:17" x14ac:dyDescent="0.3">
      <c r="N64"/>
    </row>
    <row r="65" spans="14:14" x14ac:dyDescent="0.3">
      <c r="N65"/>
    </row>
    <row r="66" spans="14:14" x14ac:dyDescent="0.3">
      <c r="N66"/>
    </row>
    <row r="67" spans="14:14" x14ac:dyDescent="0.3">
      <c r="N67"/>
    </row>
    <row r="68" spans="14:14" x14ac:dyDescent="0.3">
      <c r="N68"/>
    </row>
    <row r="69" spans="14:14" x14ac:dyDescent="0.3">
      <c r="N69"/>
    </row>
    <row r="70" spans="14:14" x14ac:dyDescent="0.3">
      <c r="N70"/>
    </row>
    <row r="71" spans="14:14" x14ac:dyDescent="0.3">
      <c r="N71"/>
    </row>
    <row r="72" spans="14:14" x14ac:dyDescent="0.3">
      <c r="N72"/>
    </row>
    <row r="73" spans="14:14" x14ac:dyDescent="0.3">
      <c r="N73"/>
    </row>
    <row r="74" spans="14:14" x14ac:dyDescent="0.3">
      <c r="N74"/>
    </row>
    <row r="75" spans="14:14" x14ac:dyDescent="0.3">
      <c r="N75"/>
    </row>
    <row r="76" spans="14:14" x14ac:dyDescent="0.3">
      <c r="N76"/>
    </row>
    <row r="77" spans="14:14" x14ac:dyDescent="0.3">
      <c r="N77"/>
    </row>
    <row r="78" spans="14:14" x14ac:dyDescent="0.3">
      <c r="N78"/>
    </row>
  </sheetData>
  <pageMargins left="0.7" right="0.7" top="0.75" bottom="0.75" header="0.3" footer="0.3"/>
  <pageSetup orientation="portrait"/>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74FB0E003A88C4B9D9793633BA4B356" ma:contentTypeVersion="12" ma:contentTypeDescription="Create a new document." ma:contentTypeScope="" ma:versionID="47be61afb57dbdcdac73424092eefa1c">
  <xsd:schema xmlns:xsd="http://www.w3.org/2001/XMLSchema" xmlns:xs="http://www.w3.org/2001/XMLSchema" xmlns:p="http://schemas.microsoft.com/office/2006/metadata/properties" xmlns:ns2="0d55314f-45f1-40c9-9fce-63556e193d03" targetNamespace="http://schemas.microsoft.com/office/2006/metadata/properties" ma:root="true" ma:fieldsID="2e59f5c7e704c6a619606efe0cdd9ac5" ns2:_="">
    <xsd:import namespace="0d55314f-45f1-40c9-9fce-63556e193d0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d55314f-45f1-40c9-9fce-63556e193d0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1f7bd95-1200-4052-9a4e-dfdf006e181b"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d55314f-45f1-40c9-9fce-63556e193d0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B9E8766-E230-493D-8AB7-0599A5AF3C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d55314f-45f1-40c9-9fce-63556e193d0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AAAAB53-0ECA-470A-A9D1-4E2A413E8F82}">
  <ds:schemaRefs>
    <ds:schemaRef ds:uri="http://schemas.microsoft.com/sharepoint/v3/contenttype/forms"/>
  </ds:schemaRefs>
</ds:datastoreItem>
</file>

<file path=customXml/itemProps3.xml><?xml version="1.0" encoding="utf-8"?>
<ds:datastoreItem xmlns:ds="http://schemas.openxmlformats.org/officeDocument/2006/customXml" ds:itemID="{A6E40288-91D1-4CD6-86D1-178CC2AEE7EC}">
  <ds:schemaRefs>
    <ds:schemaRef ds:uri="http://schemas.microsoft.com/office/2006/metadata/properties"/>
    <ds:schemaRef ds:uri="http://schemas.microsoft.com/office/infopath/2007/PartnerControls"/>
    <ds:schemaRef ds:uri="a1fcbaaf-06d9-47c4-b3a2-beefbc45d784"/>
    <ds:schemaRef ds:uri="0d55314f-45f1-40c9-9fce-63556e193d0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Experiment</vt:lpstr>
      <vt:lpstr>Experiment_Centered</vt:lpstr>
      <vt:lpstr>Experiment_Centered_OG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luisf</dc:creator>
  <cp:keywords/>
  <dc:description/>
  <cp:lastModifiedBy>Ignacio  Alfaro Corrales</cp:lastModifiedBy>
  <cp:revision/>
  <dcterms:created xsi:type="dcterms:W3CDTF">2019-11-14T00:08:08Z</dcterms:created>
  <dcterms:modified xsi:type="dcterms:W3CDTF">2025-06-12T17:40:15Z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0x010100F74FB0E003A88C4B9D9793633BA4B356</vt:lpwstr>
  </property>
  <property fmtid="{D5CDD505-2E9C-101B-9397-08002B2CF9AE}" pid="3" name="MediaServiceImageTags">
    <vt:lpwstr/>
  </property>
</Properties>
</file>