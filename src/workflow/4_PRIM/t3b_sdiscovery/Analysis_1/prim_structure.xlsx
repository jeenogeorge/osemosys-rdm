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AFR_RDM\src\workflow\4_PRIM\t3b_sdiscovery\Analysis_1\"/>
    </mc:Choice>
  </mc:AlternateContent>
  <xr:revisionPtr revIDLastSave="0" documentId="13_ncr:1_{ED6F0B0C-FA25-43E9-B911-D166E009C6FD}" xr6:coauthVersionLast="47" xr6:coauthVersionMax="47" xr10:uidLastSave="{00000000-0000-0000-0000-000000000000}"/>
  <bookViews>
    <workbookView xWindow="-120" yWindow="-120" windowWidth="29040" windowHeight="15720" tabRatio="813" activeTab="2" xr2:uid="{00000000-000D-0000-FFFF-FFFF00000000}"/>
  </bookViews>
  <sheets>
    <sheet name="Indications" sheetId="2" r:id="rId1"/>
    <sheet name="Sequences" sheetId="9" r:id="rId2"/>
    <sheet name="Outcomes" sheetId="8" r:id="rId3"/>
    <sheet name="Qs_and_Notes" sheetId="3" r:id="rId4"/>
    <sheet name="Command_Desc" sheetId="4" r:id="rId5"/>
    <sheet name="Set_Matching_4_Param_Mult" sheetId="7" r:id="rId6"/>
  </sheets>
  <definedNames>
    <definedName name="_xlnm._FilterDatabase" localSheetId="2" hidden="1">Outcomes!$A$1:$X$9</definedName>
    <definedName name="_xlnm._FilterDatabase" localSheetId="1" hidden="1">Sequences!$A$1:$BA$21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9" l="1"/>
  <c r="C20" i="9"/>
  <c r="C19" i="9"/>
  <c r="C18" i="9"/>
  <c r="A17" i="9"/>
  <c r="C17" i="9" s="1"/>
  <c r="A16" i="9"/>
  <c r="C16" i="9" s="1"/>
  <c r="A8" i="8"/>
  <c r="A9" i="8" s="1"/>
  <c r="A3" i="8"/>
  <c r="A4" i="8" s="1"/>
  <c r="A5" i="8" s="1"/>
  <c r="A6" i="8" s="1"/>
  <c r="A7" i="8" s="1"/>
  <c r="G2" i="9" l="1"/>
  <c r="G3" i="9" s="1"/>
  <c r="A15" i="9"/>
  <c r="C15" i="9" s="1"/>
  <c r="A11" i="9"/>
  <c r="C11" i="9" s="1"/>
  <c r="A8" i="9"/>
  <c r="C8" i="9" s="1"/>
  <c r="A9" i="9"/>
  <c r="C9" i="9" s="1"/>
  <c r="A10" i="9"/>
  <c r="C10" i="9" s="1"/>
  <c r="A12" i="9"/>
  <c r="C12" i="9" s="1"/>
  <c r="A13" i="9"/>
  <c r="C13" i="9" s="1"/>
  <c r="A14" i="9"/>
  <c r="C14" i="9" s="1"/>
  <c r="A5" i="9"/>
  <c r="C5" i="9" s="1"/>
  <c r="A7" i="9"/>
  <c r="C7" i="9" s="1"/>
  <c r="A6" i="9"/>
  <c r="C6" i="9" s="1"/>
  <c r="A4" i="9"/>
  <c r="C4" i="9" s="1"/>
  <c r="A3" i="9"/>
  <c r="C3" i="9" s="1"/>
  <c r="A2" i="9"/>
  <c r="C2" i="9" s="1"/>
  <c r="B2" i="9" s="1"/>
  <c r="G4" i="9" l="1"/>
  <c r="G5" i="9" s="1"/>
  <c r="G6" i="9" s="1"/>
  <c r="G7" i="9" s="1"/>
  <c r="G8" i="9" s="1"/>
  <c r="G9" i="9" l="1"/>
  <c r="G10" i="9" l="1"/>
  <c r="G11" i="9" l="1"/>
  <c r="G12" i="9" l="1"/>
  <c r="G13" i="9" l="1"/>
  <c r="G14" i="9" l="1"/>
  <c r="G15" i="9" l="1"/>
  <c r="G16" i="9" s="1"/>
  <c r="G17" i="9" s="1"/>
  <c r="G18" i="9" s="1"/>
  <c r="G19" i="9" s="1"/>
  <c r="G20" i="9" s="1"/>
  <c r="G2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Ignacio  Alfaro Corrales</author>
  </authors>
  <commentList>
    <comment ref="A1" authorId="0" shapeId="0" xr:uid="{8C0A68C5-9A5B-4EE6-8527-B746AA447698}">
      <text>
        <r>
          <rPr>
            <b/>
            <sz val="9"/>
            <color indexed="81"/>
            <rFont val="Tahoma"/>
            <family val="2"/>
          </rPr>
          <t>Provides an order to follow</t>
        </r>
      </text>
    </comment>
    <comment ref="B1" authorId="0" shapeId="0" xr:uid="{71C828CE-8AD0-4024-A728-62AF44DB0A17}">
      <text>
        <r>
          <rPr>
            <b/>
            <sz val="9"/>
            <color indexed="81"/>
            <rFont val="Tahoma"/>
            <family val="2"/>
          </rPr>
          <t>Level 1: drivers to a direct outcome of interest
Level 2 and higher: drivers to intermediary variables</t>
        </r>
      </text>
    </comment>
    <comment ref="AC1" authorId="0" shapeId="0" xr:uid="{9F9BF353-0FDF-4498-9E99-305293C5952F}">
      <text>
        <r>
          <rPr>
            <b/>
            <u/>
            <sz val="9"/>
            <color indexed="81"/>
            <rFont val="Tahoma"/>
            <family val="2"/>
          </rPr>
          <t>Direct:</t>
        </r>
        <r>
          <rPr>
            <b/>
            <sz val="9"/>
            <color indexed="81"/>
            <rFont val="Tahoma"/>
            <family val="2"/>
          </rPr>
          <t xml:space="preserve"> the value from the scenario databases
</t>
        </r>
        <r>
          <rPr>
            <b/>
            <u/>
            <sz val="9"/>
            <color indexed="81"/>
            <rFont val="Tahoma"/>
            <family val="2"/>
          </rPr>
          <t>wrt_BAU_excess:</t>
        </r>
        <r>
          <rPr>
            <b/>
            <sz val="9"/>
            <color indexed="81"/>
            <rFont val="Tahoma"/>
            <family val="2"/>
          </rPr>
          <t xml:space="preserve"> NDP difference with respect to the BAU. 
When using both, test the varialbe giving the highest density/coverage.
If </t>
        </r>
        <r>
          <rPr>
            <b/>
            <u/>
            <sz val="9"/>
            <color indexed="81"/>
            <rFont val="Tahoma"/>
            <family val="2"/>
          </rPr>
          <t>wrt_BAU_excess</t>
        </r>
        <r>
          <rPr>
            <b/>
            <sz val="9"/>
            <color indexed="81"/>
            <rFont val="Tahoma"/>
            <family val="2"/>
          </rPr>
          <t xml:space="preserve"> prevails, try to find the equivalent in </t>
        </r>
        <r>
          <rPr>
            <b/>
            <u/>
            <sz val="9"/>
            <color indexed="81"/>
            <rFont val="Tahoma"/>
            <family val="2"/>
          </rPr>
          <t xml:space="preserve">Direct </t>
        </r>
        <r>
          <rPr>
            <b/>
            <sz val="9"/>
            <color indexed="81"/>
            <rFont val="Tahoma"/>
            <family val="2"/>
          </rPr>
          <t>terms.</t>
        </r>
      </text>
    </comment>
    <comment ref="AI1" authorId="0" shapeId="0" xr:uid="{4D70A602-6EA6-4B84-9498-DB2A31DBB61A}">
      <text>
        <r>
          <rPr>
            <b/>
            <u/>
            <sz val="9"/>
            <color indexed="81"/>
            <rFont val="Tahoma"/>
            <family val="2"/>
          </rPr>
          <t>FRE</t>
        </r>
        <r>
          <rPr>
            <b/>
            <sz val="9"/>
            <color indexed="81"/>
            <rFont val="Tahoma"/>
            <family val="2"/>
          </rPr>
          <t xml:space="preserve">: freight companies (light and heavy)
</t>
        </r>
        <r>
          <rPr>
            <b/>
            <u/>
            <sz val="9"/>
            <color indexed="81"/>
            <rFont val="Tahoma"/>
            <family val="2"/>
          </rPr>
          <t>PRI</t>
        </r>
        <r>
          <rPr>
            <b/>
            <sz val="9"/>
            <color indexed="81"/>
            <rFont val="Tahoma"/>
            <family val="2"/>
          </rPr>
          <t xml:space="preserve">: private transport companies
</t>
        </r>
        <r>
          <rPr>
            <b/>
            <u/>
            <sz val="9"/>
            <color indexed="81"/>
            <rFont val="Tahoma"/>
            <family val="2"/>
          </rPr>
          <t>PUB</t>
        </r>
        <r>
          <rPr>
            <b/>
            <sz val="9"/>
            <color indexed="81"/>
            <rFont val="Tahoma"/>
            <family val="2"/>
          </rPr>
          <t xml:space="preserve">: public transport operators
</t>
        </r>
        <r>
          <rPr>
            <b/>
            <u/>
            <sz val="9"/>
            <color indexed="81"/>
            <rFont val="Tahoma"/>
            <family val="2"/>
          </rPr>
          <t>NT</t>
        </r>
        <r>
          <rPr>
            <b/>
            <sz val="9"/>
            <color indexed="81"/>
            <rFont val="Tahoma"/>
            <family val="2"/>
          </rPr>
          <t>: non-transport</t>
        </r>
      </text>
    </comment>
    <comment ref="AN1" authorId="0" shapeId="0" xr:uid="{19F678ED-F93A-4609-B5BE-08942F6B8285}">
      <text>
        <r>
          <rPr>
            <b/>
            <sz val="9"/>
            <color indexed="81"/>
            <rFont val="Tahoma"/>
            <family val="2"/>
          </rPr>
          <t>Necessary when we multiply 2 parameters with different sets</t>
        </r>
      </text>
    </comment>
    <comment ref="AO1" authorId="0" shapeId="0" xr:uid="{1DB13CE8-5399-4F72-85FC-C2A704ED5A3C}">
      <text>
        <r>
          <rPr>
            <b/>
            <u/>
            <sz val="9"/>
            <color indexed="81"/>
            <rFont val="Tahoma"/>
            <family val="2"/>
          </rPr>
          <t>Multiplication rule 1:</t>
        </r>
        <r>
          <rPr>
            <b/>
            <sz val="9"/>
            <color indexed="81"/>
            <rFont val="Tahoma"/>
            <family val="2"/>
          </rPr>
          <t xml:space="preserve">
The Involved_Sets affect the 1st parameters in a multiplication //
The Supporting_Sets affect the 2nd parameter in a multiplication</t>
        </r>
      </text>
    </comment>
    <comment ref="BA1" authorId="0" shapeId="0" xr:uid="{83EB36BE-E6AA-4515-A3DB-BF25E18BBFC9}">
      <text>
        <r>
          <rPr>
            <b/>
            <u/>
            <sz val="9"/>
            <color indexed="81"/>
            <rFont val="Tahoma"/>
            <family val="2"/>
          </rPr>
          <t>Direct:</t>
        </r>
        <r>
          <rPr>
            <b/>
            <sz val="9"/>
            <color indexed="81"/>
            <rFont val="Tahoma"/>
            <family val="2"/>
          </rPr>
          <t xml:space="preserve"> the value from the scenario databases
</t>
        </r>
        <r>
          <rPr>
            <b/>
            <u/>
            <sz val="9"/>
            <color indexed="81"/>
            <rFont val="Tahoma"/>
            <family val="2"/>
          </rPr>
          <t>wrt_BAU_excess:</t>
        </r>
        <r>
          <rPr>
            <b/>
            <sz val="9"/>
            <color indexed="81"/>
            <rFont val="Tahoma"/>
            <family val="2"/>
          </rPr>
          <t xml:space="preserve"> NDP difference with respect to the BAU. 
When using both, test the varialbe giving the highest density/coverage.
If </t>
        </r>
        <r>
          <rPr>
            <b/>
            <u/>
            <sz val="9"/>
            <color indexed="81"/>
            <rFont val="Tahoma"/>
            <family val="2"/>
          </rPr>
          <t>wrt_BAU_excess</t>
        </r>
        <r>
          <rPr>
            <b/>
            <sz val="9"/>
            <color indexed="81"/>
            <rFont val="Tahoma"/>
            <family val="2"/>
          </rPr>
          <t xml:space="preserve"> prevails, try to find the equivalent in </t>
        </r>
        <r>
          <rPr>
            <b/>
            <u/>
            <sz val="9"/>
            <color indexed="81"/>
            <rFont val="Tahoma"/>
            <family val="2"/>
          </rPr>
          <t xml:space="preserve">Direct </t>
        </r>
        <r>
          <rPr>
            <b/>
            <sz val="9"/>
            <color indexed="81"/>
            <rFont val="Tahoma"/>
            <family val="2"/>
          </rPr>
          <t>terms.</t>
        </r>
      </text>
    </comment>
    <comment ref="O6" authorId="1" shapeId="0" xr:uid="{3B999532-7B09-43E6-8E36-EDB3C33285C2}">
      <text>
        <r>
          <rPr>
            <b/>
            <sz val="9"/>
            <color indexed="81"/>
            <rFont val="Tahoma"/>
            <family val="2"/>
          </rPr>
          <t>Solo solar y viento verdad?</t>
        </r>
      </text>
    </comment>
    <comment ref="O15" authorId="1" shapeId="0" xr:uid="{2DDF80D0-B7F9-48CB-A86A-1DE5EF0D29CA}">
      <text>
        <r>
          <rPr>
            <b/>
            <sz val="9"/>
            <color indexed="81"/>
            <rFont val="Tahoma"/>
            <family val="2"/>
          </rPr>
          <t>Solo solar y viento verdad?</t>
        </r>
      </text>
    </comment>
    <comment ref="O20" authorId="1" shapeId="0" xr:uid="{7D9C5C79-3F5F-4AD2-9CEF-BC734B466CC8}">
      <text>
        <r>
          <rPr>
            <b/>
            <sz val="9"/>
            <color indexed="81"/>
            <rFont val="Tahoma"/>
            <family val="2"/>
          </rPr>
          <t>Solo solar y viento verdad?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Ignacio  Alfaro Corrales</author>
  </authors>
  <commentList>
    <comment ref="K1" authorId="0" shapeId="0" xr:uid="{27EAA9DD-0570-4E65-9511-6C4D14767E7A}">
      <text>
        <r>
          <rPr>
            <b/>
            <sz val="9"/>
            <color indexed="81"/>
            <rFont val="Tahoma"/>
            <family val="2"/>
          </rPr>
          <t>Necessary when we multiply 2 parameters with different sets</t>
        </r>
      </text>
    </comment>
    <comment ref="L1" authorId="0" shapeId="0" xr:uid="{F0550462-6B4E-4512-9560-30407637CEBA}">
      <text>
        <r>
          <rPr>
            <b/>
            <u/>
            <sz val="9"/>
            <color indexed="81"/>
            <rFont val="Tahoma"/>
            <family val="2"/>
          </rPr>
          <t>Multiplication rule 1:</t>
        </r>
        <r>
          <rPr>
            <b/>
            <sz val="9"/>
            <color indexed="81"/>
            <rFont val="Tahoma"/>
            <family val="2"/>
          </rPr>
          <t xml:space="preserve">
The Involved_Sets affect the 1st parameters in a multiplication //
The Supporting_Sets affect the 2nd parameter in a multiplication</t>
        </r>
      </text>
    </comment>
    <comment ref="X1" authorId="0" shapeId="0" xr:uid="{87316334-AC2D-4DC6-8638-43A978DE5620}">
      <text>
        <r>
          <rPr>
            <b/>
            <u/>
            <sz val="9"/>
            <color indexed="81"/>
            <rFont val="Tahoma"/>
            <family val="2"/>
          </rPr>
          <t>Direct:</t>
        </r>
        <r>
          <rPr>
            <b/>
            <sz val="9"/>
            <color indexed="81"/>
            <rFont val="Tahoma"/>
            <family val="2"/>
          </rPr>
          <t xml:space="preserve"> the value from the scenario databases
</t>
        </r>
        <r>
          <rPr>
            <b/>
            <u/>
            <sz val="9"/>
            <color indexed="81"/>
            <rFont val="Tahoma"/>
            <family val="2"/>
          </rPr>
          <t>wrt_BAU_excess:</t>
        </r>
        <r>
          <rPr>
            <b/>
            <sz val="9"/>
            <color indexed="81"/>
            <rFont val="Tahoma"/>
            <family val="2"/>
          </rPr>
          <t xml:space="preserve"> NDP difference with respect to the BAU. 
When using both, test the varialbe giving the highest density/coverage.
If </t>
        </r>
        <r>
          <rPr>
            <b/>
            <u/>
            <sz val="9"/>
            <color indexed="81"/>
            <rFont val="Tahoma"/>
            <family val="2"/>
          </rPr>
          <t>wrt_BAU_excess</t>
        </r>
        <r>
          <rPr>
            <b/>
            <sz val="9"/>
            <color indexed="81"/>
            <rFont val="Tahoma"/>
            <family val="2"/>
          </rPr>
          <t xml:space="preserve"> prevails, try to find the equivalent in </t>
        </r>
        <r>
          <rPr>
            <b/>
            <u/>
            <sz val="9"/>
            <color indexed="81"/>
            <rFont val="Tahoma"/>
            <family val="2"/>
          </rPr>
          <t xml:space="preserve">Direct </t>
        </r>
        <r>
          <rPr>
            <b/>
            <sz val="9"/>
            <color indexed="81"/>
            <rFont val="Tahoma"/>
            <family val="2"/>
          </rPr>
          <t>terms.</t>
        </r>
      </text>
    </comment>
    <comment ref="J5" authorId="1" shapeId="0" xr:uid="{EE8E25BB-EE8A-4BEA-B25F-42281CDA9955}">
      <text>
        <r>
          <rPr>
            <b/>
            <sz val="9"/>
            <color indexed="81"/>
            <rFont val="Tahoma"/>
            <family val="2"/>
          </rPr>
          <t xml:space="preserve">No lleva Marítimo ni Aéreo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4" authorId="0" shapeId="0" xr:uid="{C0A9ABEA-4CB6-4174-B4F1-84F137278E5C}">
      <text>
        <r>
          <rPr>
            <b/>
            <sz val="9"/>
            <color indexed="81"/>
            <rFont val="Tahoma"/>
            <family val="2"/>
          </rPr>
          <t>Other 'Column_Management' options only require one formula</t>
        </r>
      </text>
    </comment>
  </commentList>
</comments>
</file>

<file path=xl/sharedStrings.xml><?xml version="1.0" encoding="utf-8"?>
<sst xmlns="http://schemas.openxmlformats.org/spreadsheetml/2006/main" count="1102" uniqueCount="224">
  <si>
    <t>This file controls the compartmentalized approach to execute the PRIM analysis.</t>
  </si>
  <si>
    <t>We use the RES_by_actor_Gig.pptx Figures to define the different analysis sections.</t>
  </si>
  <si>
    <t>We then match the analysis sections with the model's outputs.</t>
  </si>
  <si>
    <t>Steps:</t>
  </si>
  <si>
    <t>Sequences</t>
  </si>
  <si>
    <t>Sheets:</t>
  </si>
  <si>
    <t>Groups of input parameters organized in sequence to apply the PRIM</t>
  </si>
  <si>
    <t>Uncertainty</t>
  </si>
  <si>
    <t>Level</t>
  </si>
  <si>
    <t>Outcome</t>
  </si>
  <si>
    <t>Driver</t>
  </si>
  <si>
    <t>Driver_Type</t>
  </si>
  <si>
    <t>Country</t>
  </si>
  <si>
    <t>Intermediary</t>
  </si>
  <si>
    <t>none</t>
  </si>
  <si>
    <t>Driver_Actor</t>
  </si>
  <si>
    <t>Outcome_Actor</t>
  </si>
  <si>
    <t>Direct</t>
  </si>
  <si>
    <t>Qs</t>
  </si>
  <si>
    <t>Notes</t>
  </si>
  <si>
    <t>Energy intensities should be accounted to the consumption value closest to the end-user.</t>
  </si>
  <si>
    <t>Define the sequence of uncertainties and intermediary variables as per RES_by_actor_Fig.pptx // The resulting organization should be applied to quinquenniums and to the average period horizon</t>
  </si>
  <si>
    <t>When producing the Compiled_Vulnerability files, make sure to separate it into multiple files according to period to avoid difficulties.</t>
  </si>
  <si>
    <t>Apply</t>
  </si>
  <si>
    <t>YES</t>
  </si>
  <si>
    <t>Driver_Involved_Scenarios</t>
  </si>
  <si>
    <t>Driver_Source</t>
  </si>
  <si>
    <t>Outcome_Source</t>
  </si>
  <si>
    <t>Outcome_Involved_Scenarios</t>
  </si>
  <si>
    <t>Tech</t>
  </si>
  <si>
    <t>Fuel</t>
  </si>
  <si>
    <t>Driver_Formula_Numerator</t>
  </si>
  <si>
    <t>all</t>
  </si>
  <si>
    <t>sum_across</t>
  </si>
  <si>
    <t>Driver_Formula_Denominator</t>
  </si>
  <si>
    <t>direct</t>
  </si>
  <si>
    <t>column_per_param</t>
  </si>
  <si>
    <t>Describing the commands used in the "Sequences" sheet</t>
  </si>
  <si>
    <t>Description</t>
  </si>
  <si>
    <t>Include columns for each fuel included in the sets</t>
  </si>
  <si>
    <t>Include columns for each type included in the sets</t>
  </si>
  <si>
    <t>#_of_columns_to_add</t>
  </si>
  <si>
    <t>Column_Management</t>
  </si>
  <si>
    <t>Involved_Set</t>
  </si>
  <si>
    <t>Supporting_Sets</t>
  </si>
  <si>
    <t>TRYTKDSL</t>
  </si>
  <si>
    <t>TRYTKELE</t>
  </si>
  <si>
    <t>TRYTKHYD</t>
  </si>
  <si>
    <t>TRYLFDSL</t>
  </si>
  <si>
    <t>TRYLFGSL</t>
  </si>
  <si>
    <t>TRYLFELE</t>
  </si>
  <si>
    <t>Techs_He_Freight</t>
  </si>
  <si>
    <t>Techs_Li_Freight</t>
  </si>
  <si>
    <t>group_fossil_elec_H2</t>
  </si>
  <si>
    <t>Include columns for each listed param: REQUIRES AN OPERATION PER PARAM</t>
  </si>
  <si>
    <t>TRMOTGSL</t>
  </si>
  <si>
    <t>TRMOTELE</t>
  </si>
  <si>
    <t>Techs_Motos</t>
  </si>
  <si>
    <t>group_by_use</t>
  </si>
  <si>
    <t>Include a column where all of the sets are used simultaneously</t>
  </si>
  <si>
    <t>Include columns for each use included in the sets</t>
  </si>
  <si>
    <t>special_Biofuel</t>
  </si>
  <si>
    <t>The number of columns are related to the amount of information provided for the "Biofuel Blend" uncertainty</t>
  </si>
  <si>
    <t>Formula (Numerator or Denominator)</t>
  </si>
  <si>
    <t>Sums all sets and params in their respective positions</t>
  </si>
  <si>
    <t>column_per_set</t>
  </si>
  <si>
    <t>direct_rel2018</t>
  </si>
  <si>
    <t>share_electric_of_total</t>
  </si>
  <si>
    <t>share_H2_of_total</t>
  </si>
  <si>
    <t>Grab the values after applying the formula, and average the results</t>
  </si>
  <si>
    <t>Driver_Variable_Management</t>
  </si>
  <si>
    <t>Outcome_Variable_Management</t>
  </si>
  <si>
    <t>average_across</t>
  </si>
  <si>
    <t>average_across_rel2018</t>
  </si>
  <si>
    <t>Str_Both_4 and 5 : Energy</t>
  </si>
  <si>
    <t>Str_Only_4 : Transport</t>
  </si>
  <si>
    <t>special_mode_shift</t>
  </si>
  <si>
    <t>special_PT_dist</t>
  </si>
  <si>
    <t>group_by_fuel</t>
  </si>
  <si>
    <t>group_by_type</t>
  </si>
  <si>
    <t>group_by_type_and_LowHighEmissions</t>
  </si>
  <si>
    <t>multiply_sum_across</t>
  </si>
  <si>
    <t>Include columns for each type and low/high emissions regarding the sets</t>
  </si>
  <si>
    <t>Include 3 columns: 1 for fossil, 1 for electric, 1 for H2 -related sets</t>
  </si>
  <si>
    <t>Include columns for each listed set: usually linked to the "direct" formula</t>
  </si>
  <si>
    <t>What it impacts</t>
  </si>
  <si>
    <t>Parameters</t>
  </si>
  <si>
    <t>Sets</t>
  </si>
  <si>
    <t># of params (multiplies the columns caused by sets)</t>
  </si>
  <si>
    <t># of sets</t>
  </si>
  <si>
    <t># of fuels in the sets</t>
  </si>
  <si>
    <t># of types in the sets</t>
  </si>
  <si>
    <t># of types in the sets * 2 (low or high emissions)</t>
  </si>
  <si>
    <t># of uses in the sets</t>
  </si>
  <si>
    <t>2 (ethanol and biodiesel)</t>
  </si>
  <si>
    <t>3 (microbus, minibus, taxi)</t>
  </si>
  <si>
    <t>GDP_growth</t>
  </si>
  <si>
    <t>Den_GDP</t>
  </si>
  <si>
    <t>Driver_Involved_Sets</t>
  </si>
  <si>
    <t>Driver_Supporting_Sets</t>
  </si>
  <si>
    <t>Driver_Exact_Parameters_Involved</t>
  </si>
  <si>
    <t>Driver_Tech_or_Fuel_or_Actor</t>
  </si>
  <si>
    <t>Driver_Column_Management</t>
  </si>
  <si>
    <t>Driver_Numerator_Sum_Sets</t>
  </si>
  <si>
    <t>Driver_Numerator_Sub_Sets</t>
  </si>
  <si>
    <t>Driver_Denominator_Sum_Sets</t>
  </si>
  <si>
    <t>Driver_Denominator_Sub_Sets</t>
  </si>
  <si>
    <t>Driver_Numerator_Sum_Params</t>
  </si>
  <si>
    <t>Driver_Numerator_Sub_Params</t>
  </si>
  <si>
    <t>Driver_Denominator_Sum_Params</t>
  </si>
  <si>
    <t>Driver_Denominator_Sub_Params</t>
  </si>
  <si>
    <t>Outcome_Formula_Numerator</t>
  </si>
  <si>
    <t>Outcome_Formula_Denominator</t>
  </si>
  <si>
    <t>Outcome_Involved_Sets</t>
  </si>
  <si>
    <t>Outcome_Supporting_Sets</t>
  </si>
  <si>
    <t>Outcome_Exact_Parameters_Involved</t>
  </si>
  <si>
    <t>Outcome_Tech_or_Fuel_or_Actor</t>
  </si>
  <si>
    <t>Outcome_Column_Management</t>
  </si>
  <si>
    <t>Outcome_Numerator_Sum_Sets</t>
  </si>
  <si>
    <t>Outcome_Numerator_Sub_Sets</t>
  </si>
  <si>
    <t>Outcome_Denominator_Sum_Sets</t>
  </si>
  <si>
    <t>Outcome_Denominator_Sub_Sets</t>
  </si>
  <si>
    <t>Outcome_Numerator_Sum_Params</t>
  </si>
  <si>
    <t>Outcome_Numerator_Sub_Params</t>
  </si>
  <si>
    <t>Outcome_Denominator_Sum_Params</t>
  </si>
  <si>
    <t>Outcome_Denominator_Sub_Params</t>
  </si>
  <si>
    <t>Table_ID</t>
  </si>
  <si>
    <t>Block_ID</t>
  </si>
  <si>
    <t>Driver_ID</t>
  </si>
  <si>
    <t>Driver_U_ID</t>
  </si>
  <si>
    <t>Outcome_ID_as_Driver</t>
  </si>
  <si>
    <t>Outcome_ID</t>
  </si>
  <si>
    <t>Outcome_Type</t>
  </si>
  <si>
    <t>Metric of interest</t>
  </si>
  <si>
    <t>Outcome_Threshold</t>
  </si>
  <si>
    <t>High ; Low</t>
  </si>
  <si>
    <t>Dep</t>
  </si>
  <si>
    <t>Electrification of Private Transport</t>
  </si>
  <si>
    <t>Outcome_Formula_Last</t>
  </si>
  <si>
    <t>Driver_Formula_Last</t>
  </si>
  <si>
    <t>share_ZEV_of_total</t>
  </si>
  <si>
    <t>Electrification of Public Transport</t>
  </si>
  <si>
    <t>AVG</t>
  </si>
  <si>
    <t>END</t>
  </si>
  <si>
    <t>Benefit</t>
  </si>
  <si>
    <t>special_ussolarprod</t>
  </si>
  <si>
    <t>special_windprod</t>
  </si>
  <si>
    <t>Utility-scale solar electricity production</t>
  </si>
  <si>
    <t>Wind electricity production</t>
  </si>
  <si>
    <t>Fuel Demand</t>
  </si>
  <si>
    <t>ZEV Penetration of transport</t>
  </si>
  <si>
    <t>Generation renewables</t>
  </si>
  <si>
    <t>Green solid waste</t>
  </si>
  <si>
    <t>Benefit EneTra</t>
  </si>
  <si>
    <t>Benefit Waste</t>
  </si>
  <si>
    <t>Techs_Auto</t>
  </si>
  <si>
    <t>Techs_Buses_Pub</t>
  </si>
  <si>
    <t>Techs_Buses_Micro</t>
  </si>
  <si>
    <t>TRAUTDSL</t>
  </si>
  <si>
    <t>TRAUTGSL</t>
  </si>
  <si>
    <t>TRAUTELE</t>
  </si>
  <si>
    <t>TRAUTHG</t>
  </si>
  <si>
    <t>TRMBSDSL</t>
  </si>
  <si>
    <t>TRMBSELE</t>
  </si>
  <si>
    <t>TRBPUDSL</t>
  </si>
  <si>
    <t>TRBPUELE</t>
  </si>
  <si>
    <t>TRBPUHYD</t>
  </si>
  <si>
    <t>TRYTKHD</t>
  </si>
  <si>
    <t>TRYLFHD</t>
  </si>
  <si>
    <t>TRMBSGSL</t>
  </si>
  <si>
    <t>TotalTechnologyAnnualActivity</t>
  </si>
  <si>
    <t>share_renewable_gen</t>
  </si>
  <si>
    <t>share_circ_econ_sol</t>
  </si>
  <si>
    <t>Generation renewables total</t>
  </si>
  <si>
    <t>share_renewable_total</t>
  </si>
  <si>
    <t>Techs_SUV</t>
  </si>
  <si>
    <t>TRSUVDSL</t>
  </si>
  <si>
    <t>TRSUVGSL</t>
  </si>
  <si>
    <t>TRSUVELE</t>
  </si>
  <si>
    <t>Techs_Taxi</t>
  </si>
  <si>
    <t>TRTAXGSL</t>
  </si>
  <si>
    <t>TRTAXELE</t>
  </si>
  <si>
    <t>TRBPUGSL</t>
  </si>
  <si>
    <t>TRYTKFOI</t>
  </si>
  <si>
    <t>Techs_Maritime</t>
  </si>
  <si>
    <t>TRMARDSL</t>
  </si>
  <si>
    <t>TRMARFOI</t>
  </si>
  <si>
    <t>TRMARHYD</t>
  </si>
  <si>
    <t>Techs_Maritime_Freight</t>
  </si>
  <si>
    <t>TRMAMFREDSL</t>
  </si>
  <si>
    <t>TRMAMFREFOI</t>
  </si>
  <si>
    <t>TRMAMFREHYD</t>
  </si>
  <si>
    <t>Techs_Aviation</t>
  </si>
  <si>
    <t>TRAVKER</t>
  </si>
  <si>
    <t>TRAVHYD</t>
  </si>
  <si>
    <t>OSeMOSYS-UGA outputs</t>
  </si>
  <si>
    <t>Scenario1</t>
  </si>
  <si>
    <t>CapitalInvestment ; AnnualVariableOperatingCost ; AnnualFixedOperatingCost</t>
  </si>
  <si>
    <t>TotalCapacityAnnual</t>
  </si>
  <si>
    <t>WSTLFL ; WSTINC ; WSTHZD ; WSTGLS ; WSTPLR ; WSTPAR ; WSTMTR ; WSTCMP ; WSTDGS ; WSTSEP ; WSTORG ; WSTUNS ; WSTCOL ; WSTDMP ; WSTOPB ; WSTGEN</t>
  </si>
  <si>
    <t>LNDCRPFAL ; LNDSORHR ; LNDSORHI ; LNDSORLR ; LNDSORLI ; LNDSESHR ; LNDSESHI ; LNDSESLR ; LNDSESLI ; LNDRICHR ; LNDRICHI ; LNDRICLR ; LNDRICLI ; LNDSOYHR ; LNDSOYHI ; LNDSOYLR ; LNDSOYLI ; LNDVEGHR ; LNDVEGHI ; LNDVEGLR ; LNDVEGLI ; LNDWET ; RSCLND ; LNDPLAHR ; LNDPLAHI ; LNDPLALR ; LNDPLALI ; LNDMAIHR ; LNDMAIHI ; LNDMAILR ; LNDMAILI ; LNDCASHR ; LNDCASHI ; LNDCASLR ; LNDCASLI ; LNDBEAHR ; LNDBEAHI ; LNDBEALR ; LNDBEALI ; LNDCOFHR ; LNDCOFHI ; LNDCOFLR ; LNDCOFLI ; LNDGROHR ; LNDGROHI ; LNDGROLR ; LNDGROLI ; LNDSUNHR ; LNDSUNHI ; LNDSUNLR ; LNDSUNLI ; LNDOTCHR ; LNDOTCHI ; LNDOTCLR ; LNDOTCLI ; LNDPTSHR ; LNDPTSHI ; LNDPTSLR ; LNDPTSLI ; LNDFOR ; LNDBLT ; LNDWAT ; OTHLND ; LNDCRP ; LNDGRA ; LNDSHR ; PWRBATIN ; PWRBATOUT ; PWRTRNIMP ; PWRDSL ; PWRWND002 ; PWRWND001 ; PWRNGS002 ; PWRNGS001 ; PWROHC002 ; PWRCOA001 ; PWRLFG001 ; PWRHYD001 ; PWRHYD002 ; PWRHYD003 ; PWRHYD004 ; PWRSOL001 ; PWRSOL002 ; PWRGEO001 ; PWRBIO001 ; PWRCSP001 ; PWRTRN ; TRAEVSCHG001 ; TRAEVSCHG002 ; TRAEVSCHG003 ; TRAGSLCARHYBCUR ; TRADSLPRL ; TRAELCPRL ; TRADSLFRL ; TRAELCFRL ; TRAGSLNAV ; TRAKERAVI ; TRAELCHTRCUR ; TRAELCMTRCUR ; TRAELCLTRCUR ; TRAELCBUSCUR ; TRALPGBUSNEW ; TRAELCMNBCUR ; TRALPGMNBNEW ; TRADSLMCYNEW ; TRAELCMCYCUR ; TRAELCCARCUR ; TRALPGCARNEW ; TRAGSLLTRCUR ; TRADSLLTRCUR ; TRAGSLLTRNEW ; TRADSLLTRNEW ; TRADSHLTRNEW ; TRADSLMTRCUR ; TRADSLMTRNEW ; TRAELCMTRNEW ; TRADSLHTRCUR ; TRADSLHTRNEW ; TRAELCHTRNEW ; WSTLFL ; WSTINC ; WSTHZD ; WSTGLS ; WSTPLR ; WSTPAR ; WSTMTR ; WSTCMP ; WSTDGS ; WSTSEP ; WSTORG ; WSTUNS ; WSTCOL ; WSTDMP ; WSTOPB ; WSTGEN ; INDOTHELCHTH ; INDOTHDSLHTH ; INDOTHNGSHTH ; INDOTHBIOHTH ; INDOTHCOAHTH ; INDOTHHDGHTH ; INDOTHGSLMDR ; INDOTHDSLMDR ; INDOTHELCMDR ; INDOTHPLT ; INDMTRELCHTH ; INDMTRDSLHTH ; INDMTRNGSHTH ; INDMTRBIOHTH ; INDMTRCOAHTH ; INDMTRHDGHTH ; INDMTRGSLMDR ; INDMTRDSLMDR ; INDMTRELCMDR ; INDMTRPLT ; INDCHMPLT ; INDCHMELCHTH ; INDCHMKERHTH ; INDCHMNGSHTH ; INDCHMBIOHTH ; INDCHMCOAHTH ; INDCHMHDGHTH ; INDFBTELCHTH ; INDFBTPLT ; INDFBTHFOHTH ; INDFBTNGSHTH ; INDFBTBIOHTH ; INDFBTCOAHTH ; INDFBTHDGHTH ; INDHFOKLN ; INDNGSKLNCCS ; INDNGSKLN ; INDBIOKLNCCS ; INDBIOKLN ; INDCOAKLNCCS ; INDKLNCOA ; INDWSTKLN ; INDCEM</t>
  </si>
  <si>
    <t>PWRBATIN ; PWRBATOUT  ; PWRWND002 ; PWRWND001 ; PWRHYD001 ; PWRHYD002 ; PWRHYD003 ; PWRHYD004 ; PWRSOL001 ; PWRSOL002 ; PWRGEO001 ; PWRBIO001 ; PWRCSP001</t>
  </si>
  <si>
    <t>PWRWND001 ; PWRWND002</t>
  </si>
  <si>
    <t>PWRSOL001 ; PWRSOL002 ; PWRCSP001</t>
  </si>
  <si>
    <t>TRAELCHTRCUR ; TRADSLHTRCUR ; TRADSLHTRNEW ; TRAELCHTRNEW</t>
  </si>
  <si>
    <t>Electrification of Light Truck</t>
  </si>
  <si>
    <t>Electrification of Heavy Truck</t>
  </si>
  <si>
    <t>TRAELCLTRCUR ; TRAELCLTRNEW ; TRAGSLLTRCUR ; TRADSLLTRCUR ; TRAGSLLTRNEW ; TRADSLLTRNEW ; TRADSHLTRNEW</t>
  </si>
  <si>
    <t>Electrification of Medium Truck</t>
  </si>
  <si>
    <t>TRAEVSCHG001 ; TRAEVSCHG002 ; TRAEVSCHG003 ; TRADSLMCYNEW ; TRAELCMCYCUR ; TRAELCCARCUR ; TRALPGCARNEW ; TRAELCCARNEW ; TRADSLCARCUR ; TRAGSLCARCUR ; TRAGSLCARNEW ; TRADSLCARNEW ; TRAGSLCARHYBNEW ; TRAGSLMCYCUR ; TRAGSLMCYNEW ; TRAELCMCYNEW</t>
  </si>
  <si>
    <t>TRAELCBUSCUR ; TRALPGBUSNEW ; TRAELCMNBCUR ; TRALPGMNBNEW ; TRADSLBUSCUR ; TRADSLBUSNEW ; TRAELCBUSNEW ; TRADSHBUSNEW ; TRADSLMNBCUR ; TRAGSLMNBCUR ; TRADSLMNBNEW ; TRAGSLMNBNEW ; TRADSHMNBNEW ; TRAELCMNBNEW</t>
  </si>
  <si>
    <t>TRAELCMTRCUR ; TRADSLMTRCUR ; TRADSLMTRNEW ; TRAELCMTRNEW</t>
  </si>
  <si>
    <t>TRAEVSCHG001 ; TRAEVSCHG002 ; TRAEVSCHG003 ; TRAGSLCARHYBCUR ; TRAELCHTRCUR ; TRAELCMTRCUR ; TRAELCLTRCUR ; TRAELCBUSCUR ; TRALPGBUSNEW ; TRAELCMNBCUR ; TRALPGMNBNEW ; TRADSLMCYNEW ; TRAELCMCYCUR ; TRAELCCARCUR ; TRALPGCARNEW ; TRAELCLTRNEW ; TRAELCCARNEW ; TRADSLCARCUR ; TRAGSLCARCUR ; TRAGSLCARNEW ; TRADSLCARNEW ; TRAGSLCARHYBNEW ; TRADSLBUSCUR ; TRADSLBUSNEW ; TRAELCBUSNEW ; TRADSHBUSNEW ; TRADSLMNBCUR ; TRAGSLMNBCUR ; TRADSLMNBNEW ; TRAGSLMNBNEW ; TRADSHMNBNEW ; TRAELCMNBNEW ; TRAGSLMCYCUR ; TRAGSLMCYNEW ; TRAELCMCYNEW ; TRAGSLLTRCUR ; TRADSLLTRCUR ; TRAGSLLTRNEW ; TRADSLLTRNEW ; TRADSHLTRNEW ; TRADSLMTRCUR ; TRADSLMTRNEW ; TRAELCMTRNEW ; TRADSLHTRCUR ; TRADSLHTRNEW ; TRAELCHTRNEW</t>
  </si>
  <si>
    <t>PWRBATIN ; PWRBATOUT ; PWRTRNIMP ; PWRDSL ; PWRWND002 ; PWRWND001 ; PWRNGS002 ; PWRNGS001 ; PWROHC002 ; PWRCOA001 ; PWRLFG001 ; PWRHYD001 ; PWRHYD002 ; PWRHYD003 ; PWRHYD004 ; PWRSOL001 ; PWRSOL002 ; PWRGEO001 ; PWRBIO001 ; PWRCSP001 ; PWRTRN ; TRAEVSCHG001 ; TRAEVSCHG002 ; TRAEVSCHG003 ; TRAGSLCARHYBCUR ; TRAELCHTRCUR ; TRAELCMTRCUR ; TRAELCLTRCUR ; TRAELCBUSCUR ; TRALPGBUSNEW ; TRAELCMNBCUR ; TRALPGMNBNEW ; TRADSLMCYNEW ; TRAELCMCYCUR ; TRAELCCARCUR ; TRALPGCARNEW ; TRAELCLTRNEW ; TRAELCCARNEW ; TRADSLCARCUR ; TRAGSLCARCUR ; TRAGSLCARNEW ; TRADSLCARNEW ; TRAGSLCARHYBNEW ; TRADSLBUSCUR ; TRADSLBUSNEW ; TRAELCBUSNEW ; TRADSHBUSNEW ; TRADSLMNBCUR ; TRAGSLMNBCUR ; TRADSLMNBNEW ; TRAGSLMNBNEW ; TRADSHMNBNEW ; TRAELCMNBNEW ; TRAGSLMCYCUR ; TRAGSLMCYNEW ; TRAELCMCYNEW ; TRAGSLLTRCUR ; TRADSLLTRCUR ; TRAGSLLTRNEW ; TRADSLLTRNEW ; TRADSHLTRNEW ; TRADSLMTRCUR ; TRADSLMTRNEW ; TRAELCMTRNEW ; TRADSLHTRCUR ; TRADSLHTRNEW ; TRAELCHTRNEW</t>
  </si>
  <si>
    <t>WSTGLS ; WSTPLR ; WSTPAR ; WSTMTR ; WSTCMP ; WSTSEP ; WSTORG</t>
  </si>
  <si>
    <t>PWRBATIN ; PWRBATOUT ; PWRTRNIMP ; PWRDSL ; PWROHC003 ; PWRWND002 ; PWRWND001 ; PWRNGS002 ; PWRNGS001 ; PWROHC002 ; PWRCOA001 ; PWRLFG001 ; PWRHYD001 ; PWRTRN ; PWRHYD002 ; PWRHYD003 ; PWRHYD004 ; PWRSOL001 ; PWRSOL002 ; PWRGEO001 ; PWRBIO001 ; PWRTRNEXP ; PWRCSP001 ; TRAEVSCHG001 ; TRAEVSCHG002 ; TRAEVSCHG003 ; TRAGSLCARHYBCUR ; TRAELCHTRCUR ; TRAELCMTRCUR ; TRAELCLTRCUR ; TRAELCBUSCUR ; TRALPGBUSNEW ; TRAELCMNBCUR ; TRALPGMNBNEW ; TRADSLMCYNEW ; TRAELCMCYCUR ; TRAELCCARCUR ; TRALPGCARNEW ; TRAELCLTRNEW ; TRAELCCARNEW ; TRADSLCARCUR ; TRAGSLCARCUR ; TRAGSLCARNEW ; TRADSLCARNEW ; TRAGSLCARHYBNEW ; TRADSLBUSCUR ; TRADSLBUSNEW ; TRAELCBUSNEW ; TRADSHBUSNEW ; TRADSLMNBCUR ; TRAGSLMNBCUR ; TRADSLMNBNEW ; TRAGSLMNBNEW ; TRADSHMNBNEW ; TRAELCMNBNEW ; TRAGSLMCYCUR ; TRAGSLMCYNEW ; TRAELCMCYNEW ; TRAGSLLTRCUR ; TRADSLLTRCUR ; TRAGSLLTRNEW ; TRADSLLTRNEW ; TRADSHLTRNEW ; TRADSLMTRCUR ; TRADSLMTRNEW ; TRAELCMTRNEW ; TRADSLHTRCUR ; TRADSLHTRNEW ; TRAELCHTRNEW</t>
  </si>
  <si>
    <t>PWRWND001 ; PWRWND002 ; PWRHYD001 ; PWRHYD002 ; PWRHYD003 ; PWRHYD004 ; PWRSOL001 ; PWRSOL002 ; PWRCSP001 ; PWRGEO001 ; PWRBIO001 ; PWRLFG001</t>
  </si>
  <si>
    <t>DEMTRALPG ; DEMTRAELC ; DEMTRADSL ; DEMTRAGSL</t>
  </si>
  <si>
    <t>Emissions National</t>
  </si>
  <si>
    <t>AnnualTechnologyEmission</t>
  </si>
  <si>
    <t>Emissions Waste</t>
  </si>
  <si>
    <t>Emissions EneTra</t>
  </si>
  <si>
    <t>CH4 ; CO2eq</t>
  </si>
  <si>
    <t>CH4 ; CO2 ; CO2eq ; 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</si>
</sst>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4" borderId="13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0" borderId="17" xfId="0" applyFont="1" applyBorder="1"/>
    <xf numFmtId="0" fontId="1" fillId="0" borderId="18" xfId="0" applyFont="1" applyBorder="1"/>
    <xf numFmtId="0" fontId="6" fillId="6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0" fillId="0" borderId="24" xfId="0" applyBorder="1"/>
    <xf numFmtId="0" fontId="0" fillId="0" borderId="20" xfId="0" applyBorder="1"/>
    <xf numFmtId="0" fontId="0" fillId="0" borderId="21" xfId="0" applyBorder="1"/>
    <xf numFmtId="0" fontId="1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0" fillId="0" borderId="21" xfId="0" applyBorder="1" applyAlignment="1">
      <alignment wrapText="1"/>
    </xf>
    <xf numFmtId="0" fontId="0" fillId="0" borderId="25" xfId="0" applyBorder="1" applyAlignment="1">
      <alignment horizontal="left"/>
    </xf>
    <xf numFmtId="0" fontId="0" fillId="0" borderId="24" xfId="0" applyBorder="1" applyAlignment="1">
      <alignment horizontal="left" wrapText="1"/>
    </xf>
    <xf numFmtId="0" fontId="0" fillId="0" borderId="24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3" borderId="4" xfId="0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3" borderId="15" xfId="0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/>
    </xf>
    <xf numFmtId="0" fontId="0" fillId="8" borderId="15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0" fontId="0" fillId="9" borderId="15" xfId="0" applyFill="1" applyBorder="1" applyAlignment="1">
      <alignment horizontal="left" vertical="center" wrapText="1"/>
    </xf>
    <xf numFmtId="0" fontId="0" fillId="5" borderId="29" xfId="0" applyFill="1" applyBorder="1" applyAlignment="1">
      <alignment horizontal="left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0" fillId="12" borderId="6" xfId="0" applyFill="1" applyBorder="1"/>
    <xf numFmtId="0" fontId="0" fillId="11" borderId="6" xfId="0" applyFill="1" applyBorder="1"/>
    <xf numFmtId="0" fontId="0" fillId="10" borderId="16" xfId="0" applyFill="1" applyBorder="1" applyAlignment="1">
      <alignment horizontal="left" vertical="center" wrapText="1"/>
    </xf>
    <xf numFmtId="0" fontId="0" fillId="10" borderId="2" xfId="0" applyFill="1" applyBorder="1" applyAlignment="1">
      <alignment horizontal="left" vertical="center" wrapText="1"/>
    </xf>
    <xf numFmtId="0" fontId="0" fillId="10" borderId="31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5" fillId="2" borderId="29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horizontal="left" vertical="center" wrapText="1"/>
    </xf>
    <xf numFmtId="0" fontId="0" fillId="4" borderId="30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10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0" fillId="8" borderId="6" xfId="0" applyFill="1" applyBorder="1" applyAlignment="1">
      <alignment horizontal="left" vertical="center" wrapText="1"/>
    </xf>
    <xf numFmtId="0" fontId="0" fillId="9" borderId="6" xfId="0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left" vertical="center" wrapText="1"/>
    </xf>
    <xf numFmtId="0" fontId="0" fillId="7" borderId="6" xfId="0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10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10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0" fillId="10" borderId="32" xfId="0" applyFill="1" applyBorder="1" applyAlignment="1">
      <alignment horizontal="left" vertical="center"/>
    </xf>
    <xf numFmtId="0" fontId="0" fillId="4" borderId="29" xfId="0" applyFill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10" borderId="29" xfId="0" applyFill="1" applyBorder="1" applyAlignment="1">
      <alignment horizontal="left" vertical="center" wrapText="1"/>
    </xf>
    <xf numFmtId="0" fontId="0" fillId="4" borderId="29" xfId="0" applyFill="1" applyBorder="1" applyAlignment="1">
      <alignment horizontal="left" vertical="center" wrapText="1"/>
    </xf>
    <xf numFmtId="0" fontId="0" fillId="3" borderId="29" xfId="0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left" vertical="center"/>
    </xf>
    <xf numFmtId="0" fontId="0" fillId="5" borderId="29" xfId="0" applyFill="1" applyBorder="1" applyAlignment="1">
      <alignment horizontal="left" vertical="center"/>
    </xf>
    <xf numFmtId="0" fontId="0" fillId="8" borderId="29" xfId="0" applyFill="1" applyBorder="1" applyAlignment="1">
      <alignment horizontal="left" vertical="center" wrapText="1"/>
    </xf>
    <xf numFmtId="0" fontId="0" fillId="10" borderId="8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0" fontId="0" fillId="11" borderId="9" xfId="0" applyFill="1" applyBorder="1" applyAlignment="1">
      <alignment horizontal="left" vertical="center" wrapText="1"/>
    </xf>
    <xf numFmtId="0" fontId="1" fillId="11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0" fillId="10" borderId="9" xfId="0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8" borderId="9" xfId="0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0" fillId="4" borderId="22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0" fillId="9" borderId="29" xfId="0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0" fillId="11" borderId="29" xfId="0" applyFill="1" applyBorder="1" applyAlignment="1">
      <alignment horizontal="left" vertical="center" wrapText="1"/>
    </xf>
    <xf numFmtId="0" fontId="8" fillId="11" borderId="29" xfId="0" applyFont="1" applyFill="1" applyBorder="1" applyAlignment="1">
      <alignment horizontal="left" vertical="center" wrapText="1"/>
    </xf>
    <xf numFmtId="0" fontId="0" fillId="7" borderId="29" xfId="0" applyFill="1" applyBorder="1" applyAlignment="1">
      <alignment horizontal="left" vertical="center" wrapText="1"/>
    </xf>
    <xf numFmtId="0" fontId="0" fillId="9" borderId="9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7178-9A19-4D94-AD58-F67B1A7583E4}">
  <dimension ref="A1:B19"/>
  <sheetViews>
    <sheetView workbookViewId="0"/>
  </sheetViews>
  <sheetFormatPr defaultRowHeight="15" x14ac:dyDescent="0.25"/>
  <cols>
    <col min="1" max="1" width="12.4257812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5" spans="1:2" x14ac:dyDescent="0.25">
      <c r="A5" s="2" t="s">
        <v>3</v>
      </c>
    </row>
    <row r="6" spans="1:2" x14ac:dyDescent="0.25">
      <c r="A6">
        <v>1</v>
      </c>
      <c r="B6" t="s">
        <v>21</v>
      </c>
    </row>
    <row r="18" spans="1:2" x14ac:dyDescent="0.25">
      <c r="A18" s="2" t="s">
        <v>5</v>
      </c>
    </row>
    <row r="19" spans="1:2" x14ac:dyDescent="0.25">
      <c r="A19" s="1" t="s">
        <v>4</v>
      </c>
      <c r="B19" t="s">
        <v>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260C-798C-4AE5-8FFD-D097260F58C5}">
  <sheetPr>
    <tabColor rgb="FF92D050"/>
  </sheetPr>
  <dimension ref="A1:CT769"/>
  <sheetViews>
    <sheetView zoomScale="63" zoomScaleNormal="98" workbookViewId="0">
      <pane xSplit="1" ySplit="1" topLeftCell="Z11" activePane="bottomRight" state="frozen"/>
      <selection pane="topRight" activeCell="B1" sqref="B1"/>
      <selection pane="bottomLeft" activeCell="A2" sqref="A2"/>
      <selection pane="bottomRight" activeCell="AJ21" sqref="AJ21"/>
    </sheetView>
  </sheetViews>
  <sheetFormatPr defaultColWidth="0" defaultRowHeight="15" zeroHeight="1" x14ac:dyDescent="0.25"/>
  <cols>
    <col min="1" max="1" width="13.42578125" customWidth="1"/>
    <col min="2" max="2" width="8.85546875" customWidth="1"/>
    <col min="3" max="3" width="14.140625" customWidth="1"/>
    <col min="4" max="4" width="8.85546875" customWidth="1"/>
    <col min="5" max="5" width="15.42578125" customWidth="1"/>
    <col min="6" max="6" width="12.28515625" customWidth="1"/>
    <col min="7" max="7" width="14.85546875" customWidth="1"/>
    <col min="8" max="8" width="10.5703125" customWidth="1"/>
    <col min="9" max="9" width="17.5703125" customWidth="1"/>
    <col min="10" max="10" width="36" customWidth="1"/>
    <col min="11" max="11" width="20" customWidth="1"/>
    <col min="12" max="12" width="27.5703125" customWidth="1"/>
    <col min="13" max="13" width="36.28515625" customWidth="1"/>
    <col min="14" max="14" width="21.28515625" customWidth="1"/>
    <col min="15" max="15" width="117.140625" customWidth="1"/>
    <col min="16" max="16" width="28.28515625" customWidth="1"/>
    <col min="17" max="17" width="25.42578125" customWidth="1"/>
    <col min="18" max="18" width="21.42578125" customWidth="1"/>
    <col min="19" max="19" width="28.7109375" customWidth="1"/>
    <col min="20" max="20" width="24" customWidth="1"/>
    <col min="21" max="21" width="24.5703125" customWidth="1"/>
    <col min="22" max="22" width="26.7109375" customWidth="1"/>
    <col min="23" max="23" width="26" customWidth="1"/>
    <col min="24" max="25" width="24.7109375" customWidth="1"/>
    <col min="26" max="26" width="26.42578125" customWidth="1"/>
    <col min="27" max="27" width="24.5703125" customWidth="1"/>
    <col min="28" max="28" width="20.28515625" customWidth="1"/>
    <col min="29" max="29" width="22" customWidth="1"/>
    <col min="30" max="30" width="15.85546875" customWidth="1"/>
    <col min="31" max="31" width="12.140625" customWidth="1"/>
    <col min="32" max="32" width="14.140625" customWidth="1"/>
    <col min="33" max="33" width="13.28515625" bestFit="1" customWidth="1"/>
    <col min="34" max="34" width="25" bestFit="1" customWidth="1"/>
    <col min="35" max="35" width="19.140625" bestFit="1" customWidth="1"/>
    <col min="36" max="36" width="20.85546875" customWidth="1"/>
    <col min="37" max="37" width="30" customWidth="1"/>
    <col min="38" max="38" width="24" customWidth="1"/>
    <col min="39" max="39" width="246.28515625" bestFit="1" customWidth="1"/>
    <col min="40" max="40" width="24.85546875" customWidth="1"/>
    <col min="41" max="41" width="25.42578125" customWidth="1"/>
    <col min="42" max="42" width="22.42578125" customWidth="1"/>
    <col min="43" max="43" width="22.5703125" customWidth="1"/>
    <col min="44" max="44" width="23.85546875" customWidth="1"/>
    <col min="45" max="45" width="24.140625" customWidth="1"/>
    <col min="46" max="46" width="26" customWidth="1"/>
    <col min="47" max="47" width="25.85546875" customWidth="1"/>
    <col min="48" max="48" width="25.42578125" customWidth="1"/>
    <col min="49" max="49" width="25.7109375" customWidth="1"/>
    <col min="50" max="50" width="27" customWidth="1"/>
    <col min="51" max="51" width="28.28515625" customWidth="1"/>
    <col min="52" max="52" width="12.85546875" customWidth="1"/>
    <col min="53" max="53" width="22.28515625" customWidth="1"/>
    <col min="54" max="82" width="8.85546875" customWidth="1"/>
    <col min="83" max="98" width="0" hidden="1" customWidth="1"/>
    <col min="99" max="16384" width="8.85546875" hidden="1"/>
  </cols>
  <sheetData>
    <row r="1" spans="1:61" ht="86.25" customHeight="1" thickBot="1" x14ac:dyDescent="0.3">
      <c r="A1" s="90" t="s">
        <v>126</v>
      </c>
      <c r="B1" s="55" t="s">
        <v>8</v>
      </c>
      <c r="C1" s="91" t="s">
        <v>127</v>
      </c>
      <c r="D1" s="91" t="s">
        <v>23</v>
      </c>
      <c r="E1" s="46" t="s">
        <v>130</v>
      </c>
      <c r="F1" s="67" t="s">
        <v>129</v>
      </c>
      <c r="G1" s="67" t="s">
        <v>128</v>
      </c>
      <c r="H1" s="46" t="s">
        <v>139</v>
      </c>
      <c r="I1" s="55" t="s">
        <v>11</v>
      </c>
      <c r="J1" s="46" t="s">
        <v>10</v>
      </c>
      <c r="K1" s="46" t="s">
        <v>15</v>
      </c>
      <c r="L1" s="55" t="s">
        <v>26</v>
      </c>
      <c r="M1" s="92" t="s">
        <v>31</v>
      </c>
      <c r="N1" s="92" t="s">
        <v>34</v>
      </c>
      <c r="O1" s="46" t="s">
        <v>98</v>
      </c>
      <c r="P1" s="46" t="s">
        <v>99</v>
      </c>
      <c r="Q1" s="46" t="s">
        <v>100</v>
      </c>
      <c r="R1" s="46" t="s">
        <v>101</v>
      </c>
      <c r="S1" s="92" t="s">
        <v>102</v>
      </c>
      <c r="T1" s="93" t="s">
        <v>103</v>
      </c>
      <c r="U1" s="93" t="s">
        <v>104</v>
      </c>
      <c r="V1" s="93" t="s">
        <v>105</v>
      </c>
      <c r="W1" s="93" t="s">
        <v>106</v>
      </c>
      <c r="X1" s="92" t="s">
        <v>107</v>
      </c>
      <c r="Y1" s="92" t="s">
        <v>108</v>
      </c>
      <c r="Z1" s="92" t="s">
        <v>109</v>
      </c>
      <c r="AA1" s="92" t="s">
        <v>110</v>
      </c>
      <c r="AB1" s="46" t="s">
        <v>25</v>
      </c>
      <c r="AC1" s="46" t="s">
        <v>70</v>
      </c>
      <c r="AD1" s="46" t="s">
        <v>131</v>
      </c>
      <c r="AE1" s="46" t="s">
        <v>138</v>
      </c>
      <c r="AF1" s="46" t="s">
        <v>134</v>
      </c>
      <c r="AG1" s="46" t="s">
        <v>132</v>
      </c>
      <c r="AH1" s="46" t="s">
        <v>9</v>
      </c>
      <c r="AI1" s="46" t="s">
        <v>16</v>
      </c>
      <c r="AJ1" s="46" t="s">
        <v>27</v>
      </c>
      <c r="AK1" s="58" t="s">
        <v>111</v>
      </c>
      <c r="AL1" s="58" t="s">
        <v>112</v>
      </c>
      <c r="AM1" s="46" t="s">
        <v>113</v>
      </c>
      <c r="AN1" s="46" t="s">
        <v>114</v>
      </c>
      <c r="AO1" s="46" t="s">
        <v>115</v>
      </c>
      <c r="AP1" s="46" t="s">
        <v>116</v>
      </c>
      <c r="AQ1" s="58" t="s">
        <v>117</v>
      </c>
      <c r="AR1" s="94" t="s">
        <v>118</v>
      </c>
      <c r="AS1" s="94" t="s">
        <v>119</v>
      </c>
      <c r="AT1" s="94" t="s">
        <v>120</v>
      </c>
      <c r="AU1" s="94" t="s">
        <v>121</v>
      </c>
      <c r="AV1" s="58" t="s">
        <v>122</v>
      </c>
      <c r="AW1" s="58" t="s">
        <v>123</v>
      </c>
      <c r="AX1" s="58" t="s">
        <v>124</v>
      </c>
      <c r="AY1" s="58" t="s">
        <v>125</v>
      </c>
      <c r="AZ1" s="46" t="s">
        <v>28</v>
      </c>
      <c r="BA1" s="53" t="s">
        <v>71</v>
      </c>
      <c r="BE1" s="3"/>
      <c r="BF1" s="3"/>
      <c r="BG1" s="3"/>
      <c r="BH1" s="3"/>
      <c r="BI1" s="3"/>
    </row>
    <row r="2" spans="1:61" ht="175.5" customHeight="1" x14ac:dyDescent="0.25">
      <c r="A2" s="95">
        <f t="shared" ref="A2:A3" si="0">AD2</f>
        <v>1</v>
      </c>
      <c r="B2" s="96">
        <f>C2</f>
        <v>1</v>
      </c>
      <c r="C2" s="97">
        <f t="shared" ref="C2:C15" si="1">A2</f>
        <v>1</v>
      </c>
      <c r="D2" s="97" t="s">
        <v>24</v>
      </c>
      <c r="E2" s="73">
        <v>2</v>
      </c>
      <c r="F2" s="4"/>
      <c r="G2" s="4">
        <f>1</f>
        <v>1</v>
      </c>
      <c r="H2" s="73" t="s">
        <v>142</v>
      </c>
      <c r="I2" s="73" t="s">
        <v>13</v>
      </c>
      <c r="J2" s="73" t="s">
        <v>153</v>
      </c>
      <c r="K2" s="4" t="s">
        <v>12</v>
      </c>
      <c r="L2" s="4" t="s">
        <v>195</v>
      </c>
      <c r="M2" s="31" t="s">
        <v>33</v>
      </c>
      <c r="N2" s="31" t="s">
        <v>14</v>
      </c>
      <c r="O2" s="98" t="s">
        <v>215</v>
      </c>
      <c r="P2" s="4" t="s">
        <v>14</v>
      </c>
      <c r="Q2" s="4" t="s">
        <v>197</v>
      </c>
      <c r="R2" s="4" t="s">
        <v>29</v>
      </c>
      <c r="S2" s="31" t="s">
        <v>14</v>
      </c>
      <c r="T2" s="32" t="s">
        <v>32</v>
      </c>
      <c r="U2" s="32" t="s">
        <v>14</v>
      </c>
      <c r="V2" s="32" t="s">
        <v>14</v>
      </c>
      <c r="W2" s="32" t="s">
        <v>14</v>
      </c>
      <c r="X2" s="31" t="s">
        <v>32</v>
      </c>
      <c r="Y2" s="31" t="s">
        <v>14</v>
      </c>
      <c r="Z2" s="31" t="s">
        <v>14</v>
      </c>
      <c r="AA2" s="31" t="s">
        <v>14</v>
      </c>
      <c r="AB2" s="99" t="s">
        <v>196</v>
      </c>
      <c r="AC2" s="99" t="s">
        <v>17</v>
      </c>
      <c r="AD2" s="6">
        <v>1</v>
      </c>
      <c r="AE2" s="6" t="s">
        <v>142</v>
      </c>
      <c r="AF2" s="6" t="s">
        <v>135</v>
      </c>
      <c r="AG2" s="6" t="s">
        <v>133</v>
      </c>
      <c r="AH2" s="6" t="s">
        <v>144</v>
      </c>
      <c r="AI2" s="6" t="s">
        <v>12</v>
      </c>
      <c r="AJ2" s="6" t="s">
        <v>195</v>
      </c>
      <c r="AK2" s="100" t="s">
        <v>33</v>
      </c>
      <c r="AL2" s="100" t="s">
        <v>14</v>
      </c>
      <c r="AM2" s="98" t="s">
        <v>200</v>
      </c>
      <c r="AN2" s="6" t="s">
        <v>14</v>
      </c>
      <c r="AO2" s="6" t="s">
        <v>197</v>
      </c>
      <c r="AP2" s="6" t="s">
        <v>29</v>
      </c>
      <c r="AQ2" s="100" t="s">
        <v>14</v>
      </c>
      <c r="AR2" s="49" t="s">
        <v>32</v>
      </c>
      <c r="AS2" s="49" t="s">
        <v>14</v>
      </c>
      <c r="AT2" s="49" t="s">
        <v>14</v>
      </c>
      <c r="AU2" s="49" t="s">
        <v>14</v>
      </c>
      <c r="AV2" s="100" t="s">
        <v>32</v>
      </c>
      <c r="AW2" s="100" t="s">
        <v>14</v>
      </c>
      <c r="AX2" s="100" t="s">
        <v>14</v>
      </c>
      <c r="AY2" s="100" t="s">
        <v>14</v>
      </c>
      <c r="AZ2" s="99" t="s">
        <v>196</v>
      </c>
      <c r="BA2" s="74" t="s">
        <v>17</v>
      </c>
      <c r="BE2" s="3"/>
      <c r="BF2" s="3"/>
      <c r="BG2" s="3"/>
      <c r="BH2" s="3"/>
      <c r="BI2" s="3"/>
    </row>
    <row r="3" spans="1:61" ht="86.25" customHeight="1" thickBot="1" x14ac:dyDescent="0.3">
      <c r="A3" s="101">
        <f t="shared" si="0"/>
        <v>1</v>
      </c>
      <c r="B3" s="102">
        <v>1</v>
      </c>
      <c r="C3" s="103">
        <f t="shared" si="1"/>
        <v>1</v>
      </c>
      <c r="D3" s="103" t="s">
        <v>24</v>
      </c>
      <c r="E3" s="66">
        <v>3</v>
      </c>
      <c r="F3" s="64"/>
      <c r="G3" s="64">
        <f t="shared" ref="G3:G21" si="2">G2+1</f>
        <v>2</v>
      </c>
      <c r="H3" s="66" t="s">
        <v>142</v>
      </c>
      <c r="I3" s="66" t="s">
        <v>13</v>
      </c>
      <c r="J3" s="66" t="s">
        <v>154</v>
      </c>
      <c r="K3" s="64" t="s">
        <v>12</v>
      </c>
      <c r="L3" s="64" t="s">
        <v>195</v>
      </c>
      <c r="M3" s="79" t="s">
        <v>33</v>
      </c>
      <c r="N3" s="79" t="s">
        <v>14</v>
      </c>
      <c r="O3" s="104" t="s">
        <v>199</v>
      </c>
      <c r="P3" s="64" t="s">
        <v>14</v>
      </c>
      <c r="Q3" s="64" t="s">
        <v>197</v>
      </c>
      <c r="R3" s="64" t="s">
        <v>29</v>
      </c>
      <c r="S3" s="79" t="s">
        <v>14</v>
      </c>
      <c r="T3" s="78" t="s">
        <v>32</v>
      </c>
      <c r="U3" s="78" t="s">
        <v>14</v>
      </c>
      <c r="V3" s="78" t="s">
        <v>14</v>
      </c>
      <c r="W3" s="78" t="s">
        <v>14</v>
      </c>
      <c r="X3" s="79" t="s">
        <v>32</v>
      </c>
      <c r="Y3" s="79" t="s">
        <v>14</v>
      </c>
      <c r="Z3" s="79" t="s">
        <v>14</v>
      </c>
      <c r="AA3" s="79" t="s">
        <v>14</v>
      </c>
      <c r="AB3" s="105" t="s">
        <v>196</v>
      </c>
      <c r="AC3" s="105" t="s">
        <v>17</v>
      </c>
      <c r="AD3" s="106">
        <v>1</v>
      </c>
      <c r="AE3" s="106" t="s">
        <v>142</v>
      </c>
      <c r="AF3" s="106"/>
      <c r="AG3" s="106" t="s">
        <v>133</v>
      </c>
      <c r="AH3" s="106" t="s">
        <v>144</v>
      </c>
      <c r="AI3" s="106" t="s">
        <v>12</v>
      </c>
      <c r="AJ3" s="106"/>
      <c r="AK3" s="107"/>
      <c r="AL3" s="107"/>
      <c r="AM3" s="106"/>
      <c r="AN3" s="106"/>
      <c r="AO3" s="106"/>
      <c r="AP3" s="106"/>
      <c r="AQ3" s="107"/>
      <c r="AR3" s="108"/>
      <c r="AS3" s="108"/>
      <c r="AT3" s="108"/>
      <c r="AU3" s="108"/>
      <c r="AV3" s="107"/>
      <c r="AW3" s="107"/>
      <c r="AX3" s="107"/>
      <c r="AY3" s="107"/>
      <c r="AZ3" s="105"/>
      <c r="BA3" s="80"/>
      <c r="BE3" s="3"/>
      <c r="BF3" s="3"/>
      <c r="BG3" s="3"/>
      <c r="BH3" s="3"/>
      <c r="BI3" s="3"/>
    </row>
    <row r="4" spans="1:61" ht="86.25" customHeight="1" x14ac:dyDescent="0.25">
      <c r="A4" s="95">
        <f>AD4</f>
        <v>2</v>
      </c>
      <c r="B4" s="96">
        <v>2</v>
      </c>
      <c r="C4" s="97">
        <f>A4</f>
        <v>2</v>
      </c>
      <c r="D4" s="97" t="s">
        <v>24</v>
      </c>
      <c r="E4" s="4"/>
      <c r="F4" s="4">
        <v>1</v>
      </c>
      <c r="G4" s="4">
        <f>G3+1</f>
        <v>3</v>
      </c>
      <c r="H4" s="4" t="s">
        <v>143</v>
      </c>
      <c r="I4" s="4" t="s">
        <v>7</v>
      </c>
      <c r="J4" s="4" t="s">
        <v>149</v>
      </c>
      <c r="K4" s="4" t="s">
        <v>12</v>
      </c>
      <c r="L4" s="4" t="s">
        <v>195</v>
      </c>
      <c r="M4" s="31" t="s">
        <v>33</v>
      </c>
      <c r="N4" s="31" t="s">
        <v>14</v>
      </c>
      <c r="O4" s="98" t="s">
        <v>217</v>
      </c>
      <c r="P4" s="4" t="s">
        <v>14</v>
      </c>
      <c r="Q4" s="4" t="s">
        <v>170</v>
      </c>
      <c r="R4" s="4" t="s">
        <v>30</v>
      </c>
      <c r="S4" s="31" t="s">
        <v>14</v>
      </c>
      <c r="T4" s="32" t="s">
        <v>32</v>
      </c>
      <c r="U4" s="32" t="s">
        <v>14</v>
      </c>
      <c r="V4" s="32" t="s">
        <v>14</v>
      </c>
      <c r="W4" s="32" t="s">
        <v>14</v>
      </c>
      <c r="X4" s="31" t="s">
        <v>32</v>
      </c>
      <c r="Y4" s="31" t="s">
        <v>14</v>
      </c>
      <c r="Z4" s="31" t="s">
        <v>14</v>
      </c>
      <c r="AA4" s="31" t="s">
        <v>14</v>
      </c>
      <c r="AB4" s="99" t="s">
        <v>196</v>
      </c>
      <c r="AC4" s="99" t="s">
        <v>17</v>
      </c>
      <c r="AD4" s="6">
        <v>2</v>
      </c>
      <c r="AE4" s="6" t="s">
        <v>142</v>
      </c>
      <c r="AF4" s="6" t="s">
        <v>136</v>
      </c>
      <c r="AG4" s="109" t="s">
        <v>13</v>
      </c>
      <c r="AH4" s="6" t="s">
        <v>153</v>
      </c>
      <c r="AI4" s="6" t="s">
        <v>12</v>
      </c>
      <c r="AJ4" s="6" t="s">
        <v>195</v>
      </c>
      <c r="AK4" s="100" t="s">
        <v>33</v>
      </c>
      <c r="AL4" s="100" t="s">
        <v>14</v>
      </c>
      <c r="AM4" s="98" t="s">
        <v>215</v>
      </c>
      <c r="AN4" s="6" t="s">
        <v>14</v>
      </c>
      <c r="AO4" s="6" t="s">
        <v>197</v>
      </c>
      <c r="AP4" s="6" t="s">
        <v>29</v>
      </c>
      <c r="AQ4" s="100" t="s">
        <v>14</v>
      </c>
      <c r="AR4" s="49" t="s">
        <v>32</v>
      </c>
      <c r="AS4" s="49" t="s">
        <v>14</v>
      </c>
      <c r="AT4" s="49" t="s">
        <v>14</v>
      </c>
      <c r="AU4" s="49" t="s">
        <v>14</v>
      </c>
      <c r="AV4" s="100" t="s">
        <v>32</v>
      </c>
      <c r="AW4" s="100" t="s">
        <v>14</v>
      </c>
      <c r="AX4" s="100" t="s">
        <v>14</v>
      </c>
      <c r="AY4" s="100" t="s">
        <v>14</v>
      </c>
      <c r="AZ4" s="99" t="s">
        <v>196</v>
      </c>
      <c r="BA4" s="74" t="s">
        <v>17</v>
      </c>
      <c r="BE4" s="3"/>
      <c r="BF4" s="3"/>
      <c r="BG4" s="3"/>
      <c r="BH4" s="3"/>
      <c r="BI4" s="3"/>
    </row>
    <row r="5" spans="1:61" ht="160.5" customHeight="1" x14ac:dyDescent="0.25">
      <c r="A5" s="110">
        <f t="shared" ref="A5:A6" si="3">AD5</f>
        <v>2</v>
      </c>
      <c r="B5" s="81">
        <v>2</v>
      </c>
      <c r="C5" s="82">
        <f t="shared" ref="C5:C6" si="4">A5</f>
        <v>2</v>
      </c>
      <c r="D5" s="82" t="s">
        <v>24</v>
      </c>
      <c r="E5" s="56">
        <v>4</v>
      </c>
      <c r="F5" s="5"/>
      <c r="G5" s="5">
        <f>G4+1</f>
        <v>4</v>
      </c>
      <c r="H5" s="56" t="s">
        <v>143</v>
      </c>
      <c r="I5" s="51" t="s">
        <v>13</v>
      </c>
      <c r="J5" s="51" t="s">
        <v>150</v>
      </c>
      <c r="K5" s="62" t="s">
        <v>12</v>
      </c>
      <c r="L5" s="5" t="s">
        <v>195</v>
      </c>
      <c r="M5" s="76" t="s">
        <v>140</v>
      </c>
      <c r="N5" s="76" t="s">
        <v>14</v>
      </c>
      <c r="O5" s="83" t="s">
        <v>212</v>
      </c>
      <c r="P5" s="5" t="s">
        <v>14</v>
      </c>
      <c r="Q5" s="5" t="s">
        <v>170</v>
      </c>
      <c r="R5" s="5" t="s">
        <v>29</v>
      </c>
      <c r="S5" s="76" t="s">
        <v>14</v>
      </c>
      <c r="T5" s="75" t="s">
        <v>32</v>
      </c>
      <c r="U5" s="75" t="s">
        <v>14</v>
      </c>
      <c r="V5" s="75" t="s">
        <v>14</v>
      </c>
      <c r="W5" s="75" t="s">
        <v>14</v>
      </c>
      <c r="X5" s="76" t="s">
        <v>32</v>
      </c>
      <c r="Y5" s="76" t="s">
        <v>14</v>
      </c>
      <c r="Z5" s="76" t="s">
        <v>14</v>
      </c>
      <c r="AA5" s="76" t="s">
        <v>14</v>
      </c>
      <c r="AB5" s="84" t="s">
        <v>196</v>
      </c>
      <c r="AC5" s="84" t="s">
        <v>17</v>
      </c>
      <c r="AD5" s="60">
        <v>2</v>
      </c>
      <c r="AE5" s="60" t="s">
        <v>142</v>
      </c>
      <c r="AF5" s="60"/>
      <c r="AG5" s="86" t="s">
        <v>13</v>
      </c>
      <c r="AH5" s="60" t="s">
        <v>153</v>
      </c>
      <c r="AI5" s="60" t="s">
        <v>12</v>
      </c>
      <c r="AJ5" s="60"/>
      <c r="AK5" s="85"/>
      <c r="AL5" s="85"/>
      <c r="AM5" s="60"/>
      <c r="AN5" s="60"/>
      <c r="AO5" s="60"/>
      <c r="AP5" s="60"/>
      <c r="AQ5" s="85"/>
      <c r="AR5" s="61"/>
      <c r="AS5" s="61"/>
      <c r="AT5" s="61"/>
      <c r="AU5" s="61"/>
      <c r="AV5" s="85"/>
      <c r="AW5" s="85"/>
      <c r="AX5" s="85"/>
      <c r="AY5" s="85"/>
      <c r="AZ5" s="84"/>
      <c r="BA5" s="77"/>
      <c r="BE5" s="3"/>
      <c r="BF5" s="3"/>
      <c r="BG5" s="3"/>
      <c r="BH5" s="3"/>
      <c r="BI5" s="3"/>
    </row>
    <row r="6" spans="1:61" ht="86.25" customHeight="1" thickBot="1" x14ac:dyDescent="0.3">
      <c r="A6" s="101">
        <f t="shared" si="3"/>
        <v>2</v>
      </c>
      <c r="B6" s="102">
        <v>2</v>
      </c>
      <c r="C6" s="103">
        <f t="shared" si="4"/>
        <v>2</v>
      </c>
      <c r="D6" s="103" t="s">
        <v>24</v>
      </c>
      <c r="E6" s="111">
        <v>5</v>
      </c>
      <c r="F6" s="64"/>
      <c r="G6" s="64">
        <f t="shared" si="2"/>
        <v>5</v>
      </c>
      <c r="H6" s="66" t="s">
        <v>143</v>
      </c>
      <c r="I6" s="66" t="s">
        <v>13</v>
      </c>
      <c r="J6" s="66" t="s">
        <v>151</v>
      </c>
      <c r="K6" s="64" t="s">
        <v>12</v>
      </c>
      <c r="L6" s="64" t="s">
        <v>195</v>
      </c>
      <c r="M6" s="79" t="s">
        <v>171</v>
      </c>
      <c r="N6" s="79" t="s">
        <v>14</v>
      </c>
      <c r="O6" s="104" t="s">
        <v>216</v>
      </c>
      <c r="P6" s="64" t="s">
        <v>14</v>
      </c>
      <c r="Q6" s="64" t="s">
        <v>170</v>
      </c>
      <c r="R6" s="64" t="s">
        <v>29</v>
      </c>
      <c r="S6" s="79" t="s">
        <v>14</v>
      </c>
      <c r="T6" s="78" t="s">
        <v>32</v>
      </c>
      <c r="U6" s="78" t="s">
        <v>14</v>
      </c>
      <c r="V6" s="78" t="s">
        <v>14</v>
      </c>
      <c r="W6" s="78" t="s">
        <v>14</v>
      </c>
      <c r="X6" s="79" t="s">
        <v>32</v>
      </c>
      <c r="Y6" s="79" t="s">
        <v>14</v>
      </c>
      <c r="Z6" s="79" t="s">
        <v>14</v>
      </c>
      <c r="AA6" s="79" t="s">
        <v>14</v>
      </c>
      <c r="AB6" s="105" t="s">
        <v>196</v>
      </c>
      <c r="AC6" s="105" t="s">
        <v>17</v>
      </c>
      <c r="AD6" s="106">
        <v>2</v>
      </c>
      <c r="AE6" s="106" t="s">
        <v>142</v>
      </c>
      <c r="AF6" s="106"/>
      <c r="AG6" s="112" t="s">
        <v>13</v>
      </c>
      <c r="AH6" s="106" t="s">
        <v>153</v>
      </c>
      <c r="AI6" s="106" t="s">
        <v>12</v>
      </c>
      <c r="AJ6" s="106"/>
      <c r="AK6" s="107"/>
      <c r="AL6" s="107"/>
      <c r="AM6" s="106"/>
      <c r="AN6" s="106"/>
      <c r="AO6" s="106"/>
      <c r="AP6" s="106"/>
      <c r="AQ6" s="107"/>
      <c r="AR6" s="108"/>
      <c r="AS6" s="108"/>
      <c r="AT6" s="108"/>
      <c r="AU6" s="108"/>
      <c r="AV6" s="107"/>
      <c r="AW6" s="107"/>
      <c r="AX6" s="107"/>
      <c r="AY6" s="107"/>
      <c r="AZ6" s="105"/>
      <c r="BA6" s="80"/>
      <c r="BE6" s="3"/>
      <c r="BF6" s="3"/>
      <c r="BG6" s="3"/>
      <c r="BH6" s="3"/>
      <c r="BI6" s="3"/>
    </row>
    <row r="7" spans="1:61" ht="86.25" customHeight="1" thickBot="1" x14ac:dyDescent="0.3">
      <c r="A7" s="113">
        <f t="shared" ref="A7" si="5">AD7</f>
        <v>3</v>
      </c>
      <c r="B7" s="114">
        <v>2</v>
      </c>
      <c r="C7" s="115">
        <f t="shared" ref="C7" si="6">A7</f>
        <v>3</v>
      </c>
      <c r="D7" s="115" t="s">
        <v>24</v>
      </c>
      <c r="E7" s="116"/>
      <c r="F7" s="116">
        <v>2</v>
      </c>
      <c r="G7" s="116">
        <f>G6+1</f>
        <v>6</v>
      </c>
      <c r="H7" s="116" t="s">
        <v>143</v>
      </c>
      <c r="I7" s="116" t="s">
        <v>7</v>
      </c>
      <c r="J7" s="117" t="s">
        <v>152</v>
      </c>
      <c r="K7" s="116" t="s">
        <v>12</v>
      </c>
      <c r="L7" s="116" t="s">
        <v>195</v>
      </c>
      <c r="M7" s="118" t="s">
        <v>172</v>
      </c>
      <c r="N7" s="119" t="s">
        <v>14</v>
      </c>
      <c r="O7" s="120" t="s">
        <v>214</v>
      </c>
      <c r="P7" s="116" t="s">
        <v>14</v>
      </c>
      <c r="Q7" s="116" t="s">
        <v>170</v>
      </c>
      <c r="R7" s="116" t="s">
        <v>29</v>
      </c>
      <c r="S7" s="119" t="s">
        <v>14</v>
      </c>
      <c r="T7" s="121" t="s">
        <v>32</v>
      </c>
      <c r="U7" s="121" t="s">
        <v>14</v>
      </c>
      <c r="V7" s="121" t="s">
        <v>14</v>
      </c>
      <c r="W7" s="121" t="s">
        <v>14</v>
      </c>
      <c r="X7" s="119" t="s">
        <v>32</v>
      </c>
      <c r="Y7" s="119" t="s">
        <v>14</v>
      </c>
      <c r="Z7" s="119" t="s">
        <v>14</v>
      </c>
      <c r="AA7" s="119" t="s">
        <v>14</v>
      </c>
      <c r="AB7" s="122" t="s">
        <v>196</v>
      </c>
      <c r="AC7" s="122" t="s">
        <v>17</v>
      </c>
      <c r="AD7" s="123">
        <v>3</v>
      </c>
      <c r="AE7" s="123" t="s">
        <v>142</v>
      </c>
      <c r="AF7" s="123" t="s">
        <v>136</v>
      </c>
      <c r="AG7" s="124" t="s">
        <v>13</v>
      </c>
      <c r="AH7" s="123" t="s">
        <v>154</v>
      </c>
      <c r="AI7" s="123" t="s">
        <v>12</v>
      </c>
      <c r="AJ7" s="123" t="s">
        <v>195</v>
      </c>
      <c r="AK7" s="125" t="s">
        <v>33</v>
      </c>
      <c r="AL7" s="125" t="s">
        <v>14</v>
      </c>
      <c r="AM7" s="120" t="s">
        <v>199</v>
      </c>
      <c r="AN7" s="123" t="s">
        <v>14</v>
      </c>
      <c r="AO7" s="123" t="s">
        <v>197</v>
      </c>
      <c r="AP7" s="123" t="s">
        <v>29</v>
      </c>
      <c r="AQ7" s="125" t="s">
        <v>14</v>
      </c>
      <c r="AR7" s="126" t="s">
        <v>32</v>
      </c>
      <c r="AS7" s="126" t="s">
        <v>14</v>
      </c>
      <c r="AT7" s="126" t="s">
        <v>14</v>
      </c>
      <c r="AU7" s="126" t="s">
        <v>14</v>
      </c>
      <c r="AV7" s="125" t="s">
        <v>32</v>
      </c>
      <c r="AW7" s="125" t="s">
        <v>14</v>
      </c>
      <c r="AX7" s="125" t="s">
        <v>14</v>
      </c>
      <c r="AY7" s="125" t="s">
        <v>14</v>
      </c>
      <c r="AZ7" s="122" t="s">
        <v>196</v>
      </c>
      <c r="BA7" s="127" t="s">
        <v>17</v>
      </c>
      <c r="BE7" s="3"/>
      <c r="BF7" s="3"/>
      <c r="BG7" s="3"/>
      <c r="BH7" s="3"/>
      <c r="BI7" s="3"/>
    </row>
    <row r="8" spans="1:61" ht="86.25" customHeight="1" x14ac:dyDescent="0.25">
      <c r="A8" s="95">
        <f>AD8</f>
        <v>4</v>
      </c>
      <c r="B8" s="96">
        <v>3</v>
      </c>
      <c r="C8" s="97">
        <f t="shared" si="1"/>
        <v>4</v>
      </c>
      <c r="D8" s="97" t="s">
        <v>24</v>
      </c>
      <c r="E8" s="4"/>
      <c r="F8" s="4">
        <v>3</v>
      </c>
      <c r="G8" s="4">
        <f>G7+1</f>
        <v>7</v>
      </c>
      <c r="H8" s="4" t="s">
        <v>143</v>
      </c>
      <c r="I8" s="4" t="s">
        <v>7</v>
      </c>
      <c r="J8" s="4" t="s">
        <v>137</v>
      </c>
      <c r="K8" s="4" t="s">
        <v>12</v>
      </c>
      <c r="L8" s="4" t="s">
        <v>195</v>
      </c>
      <c r="M8" s="31" t="s">
        <v>67</v>
      </c>
      <c r="N8" s="31" t="s">
        <v>14</v>
      </c>
      <c r="O8" s="98" t="s">
        <v>209</v>
      </c>
      <c r="P8" s="4" t="s">
        <v>14</v>
      </c>
      <c r="Q8" s="4" t="s">
        <v>170</v>
      </c>
      <c r="R8" s="4" t="s">
        <v>29</v>
      </c>
      <c r="S8" s="31" t="s">
        <v>14</v>
      </c>
      <c r="T8" s="32" t="s">
        <v>32</v>
      </c>
      <c r="U8" s="32" t="s">
        <v>14</v>
      </c>
      <c r="V8" s="32" t="s">
        <v>14</v>
      </c>
      <c r="W8" s="32" t="s">
        <v>14</v>
      </c>
      <c r="X8" s="31" t="s">
        <v>32</v>
      </c>
      <c r="Y8" s="31" t="s">
        <v>14</v>
      </c>
      <c r="Z8" s="31" t="s">
        <v>14</v>
      </c>
      <c r="AA8" s="31" t="s">
        <v>14</v>
      </c>
      <c r="AB8" s="99" t="s">
        <v>196</v>
      </c>
      <c r="AC8" s="99" t="s">
        <v>17</v>
      </c>
      <c r="AD8" s="100">
        <v>4</v>
      </c>
      <c r="AE8" s="6" t="s">
        <v>143</v>
      </c>
      <c r="AF8" s="6" t="s">
        <v>136</v>
      </c>
      <c r="AG8" s="128" t="s">
        <v>13</v>
      </c>
      <c r="AH8" s="6" t="s">
        <v>150</v>
      </c>
      <c r="AI8" s="6" t="s">
        <v>12</v>
      </c>
      <c r="AJ8" s="6" t="s">
        <v>195</v>
      </c>
      <c r="AK8" s="100" t="s">
        <v>140</v>
      </c>
      <c r="AL8" s="100" t="s">
        <v>14</v>
      </c>
      <c r="AM8" s="98" t="s">
        <v>212</v>
      </c>
      <c r="AN8" s="6" t="s">
        <v>14</v>
      </c>
      <c r="AO8" s="6" t="s">
        <v>170</v>
      </c>
      <c r="AP8" s="6" t="s">
        <v>29</v>
      </c>
      <c r="AQ8" s="100" t="s">
        <v>14</v>
      </c>
      <c r="AR8" s="49" t="s">
        <v>32</v>
      </c>
      <c r="AS8" s="49" t="s">
        <v>14</v>
      </c>
      <c r="AT8" s="49" t="s">
        <v>14</v>
      </c>
      <c r="AU8" s="49" t="s">
        <v>14</v>
      </c>
      <c r="AV8" s="100" t="s">
        <v>32</v>
      </c>
      <c r="AW8" s="100" t="s">
        <v>14</v>
      </c>
      <c r="AX8" s="100" t="s">
        <v>14</v>
      </c>
      <c r="AY8" s="100" t="s">
        <v>14</v>
      </c>
      <c r="AZ8" s="99" t="s">
        <v>196</v>
      </c>
      <c r="BA8" s="74" t="s">
        <v>17</v>
      </c>
      <c r="BE8" s="3"/>
      <c r="BF8" s="3"/>
      <c r="BG8" s="3"/>
      <c r="BH8" s="3"/>
      <c r="BI8" s="3"/>
    </row>
    <row r="9" spans="1:61" ht="86.25" customHeight="1" x14ac:dyDescent="0.25">
      <c r="A9" s="110">
        <f t="shared" ref="A9:A12" si="7">AD9</f>
        <v>4</v>
      </c>
      <c r="B9" s="81">
        <v>3</v>
      </c>
      <c r="C9" s="82">
        <f t="shared" si="1"/>
        <v>4</v>
      </c>
      <c r="D9" s="82" t="s">
        <v>24</v>
      </c>
      <c r="E9" s="5"/>
      <c r="F9" s="5">
        <v>4</v>
      </c>
      <c r="G9" s="5">
        <f t="shared" si="2"/>
        <v>8</v>
      </c>
      <c r="H9" s="5" t="s">
        <v>143</v>
      </c>
      <c r="I9" s="5" t="s">
        <v>7</v>
      </c>
      <c r="J9" s="5" t="s">
        <v>141</v>
      </c>
      <c r="K9" s="5" t="s">
        <v>12</v>
      </c>
      <c r="L9" s="5" t="s">
        <v>195</v>
      </c>
      <c r="M9" s="76" t="s">
        <v>67</v>
      </c>
      <c r="N9" s="76" t="s">
        <v>14</v>
      </c>
      <c r="O9" s="83" t="s">
        <v>210</v>
      </c>
      <c r="P9" s="5" t="s">
        <v>14</v>
      </c>
      <c r="Q9" s="5" t="s">
        <v>170</v>
      </c>
      <c r="R9" s="5" t="s">
        <v>29</v>
      </c>
      <c r="S9" s="76" t="s">
        <v>14</v>
      </c>
      <c r="T9" s="75" t="s">
        <v>32</v>
      </c>
      <c r="U9" s="75" t="s">
        <v>14</v>
      </c>
      <c r="V9" s="75" t="s">
        <v>14</v>
      </c>
      <c r="W9" s="75" t="s">
        <v>14</v>
      </c>
      <c r="X9" s="76" t="s">
        <v>32</v>
      </c>
      <c r="Y9" s="76" t="s">
        <v>14</v>
      </c>
      <c r="Z9" s="76" t="s">
        <v>14</v>
      </c>
      <c r="AA9" s="76" t="s">
        <v>14</v>
      </c>
      <c r="AB9" s="84" t="s">
        <v>196</v>
      </c>
      <c r="AC9" s="84" t="s">
        <v>17</v>
      </c>
      <c r="AD9" s="85">
        <v>4</v>
      </c>
      <c r="AE9" s="60" t="s">
        <v>143</v>
      </c>
      <c r="AF9" s="60"/>
      <c r="AG9" s="87" t="s">
        <v>13</v>
      </c>
      <c r="AH9" s="60" t="s">
        <v>150</v>
      </c>
      <c r="AI9" s="60" t="s">
        <v>12</v>
      </c>
      <c r="AJ9" s="60"/>
      <c r="AK9" s="85"/>
      <c r="AL9" s="85"/>
      <c r="AM9" s="60"/>
      <c r="AN9" s="60"/>
      <c r="AO9" s="60"/>
      <c r="AP9" s="60"/>
      <c r="AQ9" s="85"/>
      <c r="AR9" s="61"/>
      <c r="AS9" s="61"/>
      <c r="AT9" s="61"/>
      <c r="AU9" s="61"/>
      <c r="AV9" s="85"/>
      <c r="AW9" s="85"/>
      <c r="AX9" s="85"/>
      <c r="AY9" s="85"/>
      <c r="AZ9" s="84"/>
      <c r="BA9" s="77"/>
      <c r="BE9" s="3"/>
      <c r="BF9" s="3"/>
      <c r="BG9" s="3"/>
      <c r="BH9" s="3"/>
      <c r="BI9" s="3"/>
    </row>
    <row r="10" spans="1:61" ht="86.25" customHeight="1" x14ac:dyDescent="0.25">
      <c r="A10" s="110">
        <f t="shared" si="7"/>
        <v>4</v>
      </c>
      <c r="B10" s="81">
        <v>3</v>
      </c>
      <c r="C10" s="82">
        <f t="shared" si="1"/>
        <v>4</v>
      </c>
      <c r="D10" s="82" t="s">
        <v>24</v>
      </c>
      <c r="E10" s="5"/>
      <c r="F10" s="5">
        <v>5</v>
      </c>
      <c r="G10" s="5">
        <f t="shared" si="2"/>
        <v>9</v>
      </c>
      <c r="H10" s="5" t="s">
        <v>143</v>
      </c>
      <c r="I10" s="5" t="s">
        <v>7</v>
      </c>
      <c r="J10" s="5" t="s">
        <v>205</v>
      </c>
      <c r="K10" s="5" t="s">
        <v>12</v>
      </c>
      <c r="L10" s="5" t="s">
        <v>195</v>
      </c>
      <c r="M10" s="76" t="s">
        <v>67</v>
      </c>
      <c r="N10" s="76" t="s">
        <v>14</v>
      </c>
      <c r="O10" s="83" t="s">
        <v>207</v>
      </c>
      <c r="P10" s="5" t="s">
        <v>14</v>
      </c>
      <c r="Q10" s="5" t="s">
        <v>170</v>
      </c>
      <c r="R10" s="5" t="s">
        <v>29</v>
      </c>
      <c r="S10" s="76" t="s">
        <v>14</v>
      </c>
      <c r="T10" s="75" t="s">
        <v>32</v>
      </c>
      <c r="U10" s="75" t="s">
        <v>14</v>
      </c>
      <c r="V10" s="75" t="s">
        <v>14</v>
      </c>
      <c r="W10" s="75" t="s">
        <v>14</v>
      </c>
      <c r="X10" s="76" t="s">
        <v>32</v>
      </c>
      <c r="Y10" s="76" t="s">
        <v>14</v>
      </c>
      <c r="Z10" s="76" t="s">
        <v>14</v>
      </c>
      <c r="AA10" s="76" t="s">
        <v>14</v>
      </c>
      <c r="AB10" s="84" t="s">
        <v>196</v>
      </c>
      <c r="AC10" s="84" t="s">
        <v>17</v>
      </c>
      <c r="AD10" s="85">
        <v>4</v>
      </c>
      <c r="AE10" s="60" t="s">
        <v>143</v>
      </c>
      <c r="AF10" s="60"/>
      <c r="AG10" s="87" t="s">
        <v>13</v>
      </c>
      <c r="AH10" s="60" t="s">
        <v>150</v>
      </c>
      <c r="AI10" s="60" t="s">
        <v>12</v>
      </c>
      <c r="AJ10" s="60"/>
      <c r="AK10" s="85"/>
      <c r="AL10" s="85"/>
      <c r="AM10" s="60"/>
      <c r="AN10" s="60"/>
      <c r="AO10" s="60"/>
      <c r="AP10" s="60"/>
      <c r="AQ10" s="85"/>
      <c r="AR10" s="61"/>
      <c r="AS10" s="61"/>
      <c r="AT10" s="61"/>
      <c r="AU10" s="61"/>
      <c r="AV10" s="85"/>
      <c r="AW10" s="85"/>
      <c r="AX10" s="85"/>
      <c r="AY10" s="85"/>
      <c r="AZ10" s="84"/>
      <c r="BA10" s="77"/>
      <c r="BE10" s="3"/>
      <c r="BF10" s="3"/>
      <c r="BG10" s="3"/>
      <c r="BH10" s="3"/>
      <c r="BI10" s="3"/>
    </row>
    <row r="11" spans="1:61" ht="86.25" customHeight="1" x14ac:dyDescent="0.25">
      <c r="A11" s="110">
        <f t="shared" si="7"/>
        <v>4</v>
      </c>
      <c r="B11" s="81">
        <v>3</v>
      </c>
      <c r="C11" s="82">
        <f t="shared" si="1"/>
        <v>4</v>
      </c>
      <c r="D11" s="82" t="s">
        <v>24</v>
      </c>
      <c r="E11" s="5"/>
      <c r="F11" s="5">
        <v>6</v>
      </c>
      <c r="G11" s="5">
        <f t="shared" ref="G11" si="8">G10+1</f>
        <v>10</v>
      </c>
      <c r="H11" s="5" t="s">
        <v>143</v>
      </c>
      <c r="I11" s="5" t="s">
        <v>7</v>
      </c>
      <c r="J11" s="5" t="s">
        <v>208</v>
      </c>
      <c r="K11" s="5" t="s">
        <v>12</v>
      </c>
      <c r="L11" s="5" t="s">
        <v>195</v>
      </c>
      <c r="M11" s="76" t="s">
        <v>67</v>
      </c>
      <c r="N11" s="76" t="s">
        <v>14</v>
      </c>
      <c r="O11" s="83" t="s">
        <v>211</v>
      </c>
      <c r="P11" s="5" t="s">
        <v>14</v>
      </c>
      <c r="Q11" s="5" t="s">
        <v>170</v>
      </c>
      <c r="R11" s="5" t="s">
        <v>29</v>
      </c>
      <c r="S11" s="76" t="s">
        <v>14</v>
      </c>
      <c r="T11" s="75" t="s">
        <v>32</v>
      </c>
      <c r="U11" s="75" t="s">
        <v>14</v>
      </c>
      <c r="V11" s="75" t="s">
        <v>14</v>
      </c>
      <c r="W11" s="75" t="s">
        <v>14</v>
      </c>
      <c r="X11" s="76" t="s">
        <v>32</v>
      </c>
      <c r="Y11" s="76" t="s">
        <v>14</v>
      </c>
      <c r="Z11" s="76" t="s">
        <v>14</v>
      </c>
      <c r="AA11" s="76" t="s">
        <v>14</v>
      </c>
      <c r="AB11" s="84" t="s">
        <v>196</v>
      </c>
      <c r="AC11" s="84" t="s">
        <v>17</v>
      </c>
      <c r="AD11" s="85">
        <v>4</v>
      </c>
      <c r="AE11" s="60" t="s">
        <v>143</v>
      </c>
      <c r="AF11" s="60"/>
      <c r="AG11" s="87" t="s">
        <v>13</v>
      </c>
      <c r="AH11" s="60" t="s">
        <v>150</v>
      </c>
      <c r="AI11" s="60" t="s">
        <v>12</v>
      </c>
      <c r="AJ11" s="60"/>
      <c r="AK11" s="85"/>
      <c r="AL11" s="85"/>
      <c r="AM11" s="60"/>
      <c r="AN11" s="60"/>
      <c r="AO11" s="60"/>
      <c r="AP11" s="60"/>
      <c r="AQ11" s="85"/>
      <c r="AR11" s="61"/>
      <c r="AS11" s="61"/>
      <c r="AT11" s="61"/>
      <c r="AU11" s="61"/>
      <c r="AV11" s="85"/>
      <c r="AW11" s="85"/>
      <c r="AX11" s="85"/>
      <c r="AY11" s="85"/>
      <c r="AZ11" s="84"/>
      <c r="BA11" s="77"/>
      <c r="BE11" s="3"/>
      <c r="BF11" s="3"/>
      <c r="BG11" s="3"/>
      <c r="BH11" s="3"/>
      <c r="BI11" s="3"/>
    </row>
    <row r="12" spans="1:61" ht="86.25" customHeight="1" thickBot="1" x14ac:dyDescent="0.3">
      <c r="A12" s="101">
        <f t="shared" si="7"/>
        <v>4</v>
      </c>
      <c r="B12" s="102">
        <v>3</v>
      </c>
      <c r="C12" s="103">
        <f t="shared" si="1"/>
        <v>4</v>
      </c>
      <c r="D12" s="103" t="s">
        <v>24</v>
      </c>
      <c r="E12" s="64"/>
      <c r="F12" s="64">
        <v>7</v>
      </c>
      <c r="G12" s="64">
        <f>G11+1</f>
        <v>11</v>
      </c>
      <c r="H12" s="64" t="s">
        <v>143</v>
      </c>
      <c r="I12" s="64" t="s">
        <v>7</v>
      </c>
      <c r="J12" s="64" t="s">
        <v>206</v>
      </c>
      <c r="K12" s="64" t="s">
        <v>12</v>
      </c>
      <c r="L12" s="64" t="s">
        <v>195</v>
      </c>
      <c r="M12" s="79" t="s">
        <v>67</v>
      </c>
      <c r="N12" s="79" t="s">
        <v>14</v>
      </c>
      <c r="O12" s="104" t="s">
        <v>204</v>
      </c>
      <c r="P12" s="64" t="s">
        <v>14</v>
      </c>
      <c r="Q12" s="64" t="s">
        <v>170</v>
      </c>
      <c r="R12" s="64" t="s">
        <v>29</v>
      </c>
      <c r="S12" s="79" t="s">
        <v>14</v>
      </c>
      <c r="T12" s="78" t="s">
        <v>32</v>
      </c>
      <c r="U12" s="78" t="s">
        <v>14</v>
      </c>
      <c r="V12" s="78" t="s">
        <v>14</v>
      </c>
      <c r="W12" s="78" t="s">
        <v>14</v>
      </c>
      <c r="X12" s="79" t="s">
        <v>32</v>
      </c>
      <c r="Y12" s="79" t="s">
        <v>14</v>
      </c>
      <c r="Z12" s="79" t="s">
        <v>14</v>
      </c>
      <c r="AA12" s="79" t="s">
        <v>14</v>
      </c>
      <c r="AB12" s="105" t="s">
        <v>196</v>
      </c>
      <c r="AC12" s="105" t="s">
        <v>17</v>
      </c>
      <c r="AD12" s="107">
        <v>4</v>
      </c>
      <c r="AE12" s="106" t="s">
        <v>143</v>
      </c>
      <c r="AF12" s="106"/>
      <c r="AG12" s="129" t="s">
        <v>13</v>
      </c>
      <c r="AH12" s="106" t="s">
        <v>150</v>
      </c>
      <c r="AI12" s="106" t="s">
        <v>12</v>
      </c>
      <c r="AJ12" s="106"/>
      <c r="AK12" s="107"/>
      <c r="AL12" s="107"/>
      <c r="AM12" s="106"/>
      <c r="AN12" s="106"/>
      <c r="AO12" s="106"/>
      <c r="AP12" s="106"/>
      <c r="AQ12" s="107"/>
      <c r="AR12" s="108"/>
      <c r="AS12" s="108"/>
      <c r="AT12" s="108"/>
      <c r="AU12" s="108"/>
      <c r="AV12" s="107"/>
      <c r="AW12" s="107"/>
      <c r="AX12" s="107"/>
      <c r="AY12" s="107"/>
      <c r="AZ12" s="105"/>
      <c r="BA12" s="80"/>
      <c r="BE12" s="3"/>
      <c r="BF12" s="3"/>
      <c r="BG12" s="3"/>
      <c r="BH12" s="3"/>
      <c r="BI12" s="3"/>
    </row>
    <row r="13" spans="1:61" ht="86.25" customHeight="1" x14ac:dyDescent="0.25">
      <c r="A13" s="95">
        <f>AD13</f>
        <v>5</v>
      </c>
      <c r="B13" s="96">
        <v>3</v>
      </c>
      <c r="C13" s="97">
        <f t="shared" si="1"/>
        <v>5</v>
      </c>
      <c r="D13" s="97" t="s">
        <v>24</v>
      </c>
      <c r="E13" s="4"/>
      <c r="F13" s="4">
        <v>8</v>
      </c>
      <c r="G13" s="4">
        <f t="shared" si="2"/>
        <v>12</v>
      </c>
      <c r="H13" s="4" t="s">
        <v>143</v>
      </c>
      <c r="I13" s="4" t="s">
        <v>7</v>
      </c>
      <c r="J13" s="4" t="s">
        <v>147</v>
      </c>
      <c r="K13" s="4" t="s">
        <v>12</v>
      </c>
      <c r="L13" s="4" t="s">
        <v>195</v>
      </c>
      <c r="M13" s="130" t="s">
        <v>145</v>
      </c>
      <c r="N13" s="31" t="s">
        <v>14</v>
      </c>
      <c r="O13" s="98" t="s">
        <v>203</v>
      </c>
      <c r="P13" s="4" t="s">
        <v>14</v>
      </c>
      <c r="Q13" s="4" t="s">
        <v>170</v>
      </c>
      <c r="R13" s="4" t="s">
        <v>29</v>
      </c>
      <c r="S13" s="31" t="s">
        <v>14</v>
      </c>
      <c r="T13" s="32" t="s">
        <v>32</v>
      </c>
      <c r="U13" s="32" t="s">
        <v>14</v>
      </c>
      <c r="V13" s="32" t="s">
        <v>14</v>
      </c>
      <c r="W13" s="32" t="s">
        <v>14</v>
      </c>
      <c r="X13" s="31" t="s">
        <v>32</v>
      </c>
      <c r="Y13" s="31" t="s">
        <v>14</v>
      </c>
      <c r="Z13" s="31" t="s">
        <v>14</v>
      </c>
      <c r="AA13" s="31" t="s">
        <v>14</v>
      </c>
      <c r="AB13" s="99" t="s">
        <v>196</v>
      </c>
      <c r="AC13" s="99" t="s">
        <v>17</v>
      </c>
      <c r="AD13" s="6">
        <v>5</v>
      </c>
      <c r="AE13" s="6" t="s">
        <v>142</v>
      </c>
      <c r="AF13" s="6" t="s">
        <v>136</v>
      </c>
      <c r="AG13" s="128" t="s">
        <v>13</v>
      </c>
      <c r="AH13" s="59" t="s">
        <v>151</v>
      </c>
      <c r="AI13" s="6" t="s">
        <v>12</v>
      </c>
      <c r="AJ13" s="6" t="s">
        <v>195</v>
      </c>
      <c r="AK13" s="100" t="s">
        <v>33</v>
      </c>
      <c r="AL13" s="100" t="s">
        <v>14</v>
      </c>
      <c r="AM13" s="98" t="s">
        <v>216</v>
      </c>
      <c r="AN13" s="6" t="s">
        <v>14</v>
      </c>
      <c r="AO13" s="6" t="s">
        <v>170</v>
      </c>
      <c r="AP13" s="6" t="s">
        <v>29</v>
      </c>
      <c r="AQ13" s="100" t="s">
        <v>14</v>
      </c>
      <c r="AR13" s="49" t="s">
        <v>32</v>
      </c>
      <c r="AS13" s="49" t="s">
        <v>14</v>
      </c>
      <c r="AT13" s="49" t="s">
        <v>14</v>
      </c>
      <c r="AU13" s="49" t="s">
        <v>14</v>
      </c>
      <c r="AV13" s="100" t="s">
        <v>32</v>
      </c>
      <c r="AW13" s="100" t="s">
        <v>14</v>
      </c>
      <c r="AX13" s="100" t="s">
        <v>14</v>
      </c>
      <c r="AY13" s="100" t="s">
        <v>14</v>
      </c>
      <c r="AZ13" s="99" t="s">
        <v>196</v>
      </c>
      <c r="BA13" s="74" t="s">
        <v>17</v>
      </c>
      <c r="BE13" s="3"/>
      <c r="BF13" s="3"/>
      <c r="BG13" s="3"/>
      <c r="BH13" s="3"/>
      <c r="BI13" s="3"/>
    </row>
    <row r="14" spans="1:61" ht="86.25" customHeight="1" x14ac:dyDescent="0.25">
      <c r="A14" s="110">
        <f t="shared" ref="A14:A15" si="9">AD14</f>
        <v>5</v>
      </c>
      <c r="B14" s="81">
        <v>3</v>
      </c>
      <c r="C14" s="82">
        <f t="shared" si="1"/>
        <v>5</v>
      </c>
      <c r="D14" s="82" t="s">
        <v>24</v>
      </c>
      <c r="E14" s="5"/>
      <c r="F14" s="5">
        <v>9</v>
      </c>
      <c r="G14" s="5">
        <f>G13+1</f>
        <v>13</v>
      </c>
      <c r="H14" s="5" t="s">
        <v>143</v>
      </c>
      <c r="I14" s="5" t="s">
        <v>7</v>
      </c>
      <c r="J14" s="5" t="s">
        <v>148</v>
      </c>
      <c r="K14" s="5" t="s">
        <v>12</v>
      </c>
      <c r="L14" s="5" t="s">
        <v>195</v>
      </c>
      <c r="M14" s="88" t="s">
        <v>146</v>
      </c>
      <c r="N14" s="76" t="s">
        <v>14</v>
      </c>
      <c r="O14" s="83" t="s">
        <v>202</v>
      </c>
      <c r="P14" s="5" t="s">
        <v>14</v>
      </c>
      <c r="Q14" s="5" t="s">
        <v>170</v>
      </c>
      <c r="R14" s="5" t="s">
        <v>29</v>
      </c>
      <c r="S14" s="76" t="s">
        <v>14</v>
      </c>
      <c r="T14" s="75" t="s">
        <v>32</v>
      </c>
      <c r="U14" s="75" t="s">
        <v>14</v>
      </c>
      <c r="V14" s="75" t="s">
        <v>14</v>
      </c>
      <c r="W14" s="75" t="s">
        <v>14</v>
      </c>
      <c r="X14" s="76" t="s">
        <v>32</v>
      </c>
      <c r="Y14" s="76" t="s">
        <v>14</v>
      </c>
      <c r="Z14" s="76" t="s">
        <v>14</v>
      </c>
      <c r="AA14" s="76" t="s">
        <v>14</v>
      </c>
      <c r="AB14" s="84" t="s">
        <v>196</v>
      </c>
      <c r="AC14" s="84" t="s">
        <v>17</v>
      </c>
      <c r="AD14" s="85">
        <v>5</v>
      </c>
      <c r="AE14" s="60" t="s">
        <v>142</v>
      </c>
      <c r="AF14" s="60"/>
      <c r="AG14" s="87" t="s">
        <v>13</v>
      </c>
      <c r="AH14" s="89" t="s">
        <v>151</v>
      </c>
      <c r="AI14" s="60" t="s">
        <v>12</v>
      </c>
      <c r="AJ14" s="60"/>
      <c r="AK14" s="85"/>
      <c r="AL14" s="85"/>
      <c r="AM14" s="60"/>
      <c r="AN14" s="60"/>
      <c r="AO14" s="60"/>
      <c r="AP14" s="60"/>
      <c r="AQ14" s="85"/>
      <c r="AR14" s="61"/>
      <c r="AS14" s="61"/>
      <c r="AT14" s="61"/>
      <c r="AU14" s="61"/>
      <c r="AV14" s="85"/>
      <c r="AW14" s="85"/>
      <c r="AX14" s="85"/>
      <c r="AY14" s="85"/>
      <c r="AZ14" s="84"/>
      <c r="BA14" s="77"/>
      <c r="BE14" s="3"/>
      <c r="BF14" s="3"/>
      <c r="BG14" s="3"/>
      <c r="BH14" s="3"/>
      <c r="BI14" s="3"/>
    </row>
    <row r="15" spans="1:61" ht="86.25" customHeight="1" thickBot="1" x14ac:dyDescent="0.3">
      <c r="A15" s="101">
        <f t="shared" si="9"/>
        <v>5</v>
      </c>
      <c r="B15" s="102">
        <v>3</v>
      </c>
      <c r="C15" s="103">
        <f t="shared" si="1"/>
        <v>5</v>
      </c>
      <c r="D15" s="103" t="s">
        <v>24</v>
      </c>
      <c r="E15" s="64"/>
      <c r="F15" s="64">
        <v>10</v>
      </c>
      <c r="G15" s="64">
        <f t="shared" si="2"/>
        <v>14</v>
      </c>
      <c r="H15" s="64" t="s">
        <v>143</v>
      </c>
      <c r="I15" s="64" t="s">
        <v>7</v>
      </c>
      <c r="J15" s="131" t="s">
        <v>173</v>
      </c>
      <c r="K15" s="64" t="s">
        <v>12</v>
      </c>
      <c r="L15" s="64" t="s">
        <v>195</v>
      </c>
      <c r="M15" s="132" t="s">
        <v>174</v>
      </c>
      <c r="N15" s="79" t="s">
        <v>14</v>
      </c>
      <c r="O15" s="104" t="s">
        <v>216</v>
      </c>
      <c r="P15" s="64" t="s">
        <v>14</v>
      </c>
      <c r="Q15" s="64" t="s">
        <v>170</v>
      </c>
      <c r="R15" s="64" t="s">
        <v>29</v>
      </c>
      <c r="S15" s="79" t="s">
        <v>14</v>
      </c>
      <c r="T15" s="78" t="s">
        <v>32</v>
      </c>
      <c r="U15" s="78" t="s">
        <v>14</v>
      </c>
      <c r="V15" s="78" t="s">
        <v>14</v>
      </c>
      <c r="W15" s="78" t="s">
        <v>14</v>
      </c>
      <c r="X15" s="79" t="s">
        <v>32</v>
      </c>
      <c r="Y15" s="79" t="s">
        <v>14</v>
      </c>
      <c r="Z15" s="79" t="s">
        <v>14</v>
      </c>
      <c r="AA15" s="79" t="s">
        <v>14</v>
      </c>
      <c r="AB15" s="105" t="s">
        <v>196</v>
      </c>
      <c r="AC15" s="105" t="s">
        <v>17</v>
      </c>
      <c r="AD15" s="107">
        <v>5</v>
      </c>
      <c r="AE15" s="106" t="s">
        <v>142</v>
      </c>
      <c r="AF15" s="106"/>
      <c r="AG15" s="129" t="s">
        <v>13</v>
      </c>
      <c r="AH15" s="133" t="s">
        <v>151</v>
      </c>
      <c r="AI15" s="106" t="s">
        <v>12</v>
      </c>
      <c r="AJ15" s="106"/>
      <c r="AK15" s="107"/>
      <c r="AL15" s="107"/>
      <c r="AM15" s="106"/>
      <c r="AN15" s="106"/>
      <c r="AO15" s="106"/>
      <c r="AP15" s="106"/>
      <c r="AQ15" s="107"/>
      <c r="AR15" s="108"/>
      <c r="AS15" s="108"/>
      <c r="AT15" s="108"/>
      <c r="AU15" s="108"/>
      <c r="AV15" s="107"/>
      <c r="AW15" s="107"/>
      <c r="AX15" s="107"/>
      <c r="AY15" s="107"/>
      <c r="AZ15" s="105"/>
      <c r="BA15" s="80"/>
      <c r="BE15" s="3"/>
      <c r="BF15" s="3"/>
      <c r="BG15" s="3"/>
      <c r="BH15" s="3"/>
      <c r="BI15" s="3"/>
    </row>
    <row r="16" spans="1:61" ht="150" x14ac:dyDescent="0.25">
      <c r="A16" s="95">
        <f t="shared" ref="A16:A17" si="10">AD16</f>
        <v>6</v>
      </c>
      <c r="B16" s="96">
        <v>1</v>
      </c>
      <c r="C16" s="97">
        <f t="shared" ref="C16:C17" si="11">A16</f>
        <v>6</v>
      </c>
      <c r="D16" s="97" t="s">
        <v>24</v>
      </c>
      <c r="E16" s="73">
        <v>7</v>
      </c>
      <c r="F16" s="4"/>
      <c r="G16" s="4">
        <f t="shared" si="2"/>
        <v>15</v>
      </c>
      <c r="H16" s="73" t="s">
        <v>143</v>
      </c>
      <c r="I16" s="73" t="s">
        <v>13</v>
      </c>
      <c r="J16" s="4" t="s">
        <v>221</v>
      </c>
      <c r="K16" s="4" t="s">
        <v>12</v>
      </c>
      <c r="L16" s="4" t="s">
        <v>195</v>
      </c>
      <c r="M16" s="31" t="s">
        <v>33</v>
      </c>
      <c r="N16" s="31" t="s">
        <v>14</v>
      </c>
      <c r="O16" s="98" t="s">
        <v>213</v>
      </c>
      <c r="P16" s="4" t="s">
        <v>223</v>
      </c>
      <c r="Q16" s="4" t="s">
        <v>219</v>
      </c>
      <c r="R16" s="4" t="s">
        <v>29</v>
      </c>
      <c r="S16" s="31" t="s">
        <v>14</v>
      </c>
      <c r="T16" s="32" t="s">
        <v>32</v>
      </c>
      <c r="U16" s="32" t="s">
        <v>14</v>
      </c>
      <c r="V16" s="32" t="s">
        <v>14</v>
      </c>
      <c r="W16" s="32" t="s">
        <v>14</v>
      </c>
      <c r="X16" s="31" t="s">
        <v>32</v>
      </c>
      <c r="Y16" s="31" t="s">
        <v>14</v>
      </c>
      <c r="Z16" s="31" t="s">
        <v>14</v>
      </c>
      <c r="AA16" s="31" t="s">
        <v>14</v>
      </c>
      <c r="AB16" s="99" t="s">
        <v>196</v>
      </c>
      <c r="AC16" s="99" t="s">
        <v>17</v>
      </c>
      <c r="AD16" s="6">
        <v>6</v>
      </c>
      <c r="AE16" s="6" t="s">
        <v>143</v>
      </c>
      <c r="AF16" s="6" t="s">
        <v>135</v>
      </c>
      <c r="AG16" s="6" t="s">
        <v>133</v>
      </c>
      <c r="AH16" s="6" t="s">
        <v>218</v>
      </c>
      <c r="AI16" s="6" t="s">
        <v>12</v>
      </c>
      <c r="AJ16" s="6" t="s">
        <v>195</v>
      </c>
      <c r="AK16" s="100" t="s">
        <v>33</v>
      </c>
      <c r="AL16" s="100" t="s">
        <v>14</v>
      </c>
      <c r="AM16" s="98" t="s">
        <v>200</v>
      </c>
      <c r="AN16" s="6" t="s">
        <v>223</v>
      </c>
      <c r="AO16" s="6" t="s">
        <v>219</v>
      </c>
      <c r="AP16" s="6" t="s">
        <v>29</v>
      </c>
      <c r="AQ16" s="100" t="s">
        <v>14</v>
      </c>
      <c r="AR16" s="49" t="s">
        <v>32</v>
      </c>
      <c r="AS16" s="49" t="s">
        <v>14</v>
      </c>
      <c r="AT16" s="49" t="s">
        <v>14</v>
      </c>
      <c r="AU16" s="49" t="s">
        <v>14</v>
      </c>
      <c r="AV16" s="100" t="s">
        <v>32</v>
      </c>
      <c r="AW16" s="100" t="s">
        <v>14</v>
      </c>
      <c r="AX16" s="100" t="s">
        <v>14</v>
      </c>
      <c r="AY16" s="100" t="s">
        <v>14</v>
      </c>
      <c r="AZ16" s="99" t="s">
        <v>196</v>
      </c>
      <c r="BA16" s="74" t="s">
        <v>17</v>
      </c>
    </row>
    <row r="17" spans="1:53" ht="120" customHeight="1" thickBot="1" x14ac:dyDescent="0.3">
      <c r="A17" s="101">
        <f t="shared" si="10"/>
        <v>6</v>
      </c>
      <c r="B17" s="102">
        <v>1</v>
      </c>
      <c r="C17" s="103">
        <f t="shared" si="11"/>
        <v>6</v>
      </c>
      <c r="D17" s="103" t="s">
        <v>24</v>
      </c>
      <c r="E17" s="66">
        <v>8</v>
      </c>
      <c r="F17" s="64"/>
      <c r="G17" s="64">
        <f t="shared" si="2"/>
        <v>16</v>
      </c>
      <c r="H17" s="66" t="s">
        <v>143</v>
      </c>
      <c r="I17" s="66" t="s">
        <v>13</v>
      </c>
      <c r="J17" s="64" t="s">
        <v>220</v>
      </c>
      <c r="K17" s="64" t="s">
        <v>12</v>
      </c>
      <c r="L17" s="64" t="s">
        <v>195</v>
      </c>
      <c r="M17" s="79" t="s">
        <v>33</v>
      </c>
      <c r="N17" s="79" t="s">
        <v>14</v>
      </c>
      <c r="O17" s="104" t="s">
        <v>199</v>
      </c>
      <c r="P17" s="64" t="s">
        <v>222</v>
      </c>
      <c r="Q17" s="64" t="s">
        <v>219</v>
      </c>
      <c r="R17" s="64" t="s">
        <v>29</v>
      </c>
      <c r="S17" s="79" t="s">
        <v>14</v>
      </c>
      <c r="T17" s="78" t="s">
        <v>32</v>
      </c>
      <c r="U17" s="78" t="s">
        <v>14</v>
      </c>
      <c r="V17" s="78" t="s">
        <v>14</v>
      </c>
      <c r="W17" s="78" t="s">
        <v>14</v>
      </c>
      <c r="X17" s="79" t="s">
        <v>32</v>
      </c>
      <c r="Y17" s="79" t="s">
        <v>14</v>
      </c>
      <c r="Z17" s="79" t="s">
        <v>14</v>
      </c>
      <c r="AA17" s="79" t="s">
        <v>14</v>
      </c>
      <c r="AB17" s="105" t="s">
        <v>196</v>
      </c>
      <c r="AC17" s="105" t="s">
        <v>17</v>
      </c>
      <c r="AD17" s="106">
        <v>6</v>
      </c>
      <c r="AE17" s="106" t="s">
        <v>143</v>
      </c>
      <c r="AF17" s="106"/>
      <c r="AG17" s="106" t="s">
        <v>133</v>
      </c>
      <c r="AH17" s="106" t="s">
        <v>218</v>
      </c>
      <c r="AI17" s="106" t="s">
        <v>12</v>
      </c>
      <c r="AJ17" s="106"/>
      <c r="AK17" s="107"/>
      <c r="AL17" s="107"/>
      <c r="AM17" s="106"/>
      <c r="AN17" s="106"/>
      <c r="AO17" s="106"/>
      <c r="AP17" s="106"/>
      <c r="AQ17" s="107"/>
      <c r="AR17" s="108"/>
      <c r="AS17" s="108"/>
      <c r="AT17" s="108"/>
      <c r="AU17" s="108"/>
      <c r="AV17" s="107"/>
      <c r="AW17" s="107"/>
      <c r="AX17" s="107"/>
      <c r="AY17" s="107"/>
      <c r="AZ17" s="105"/>
      <c r="BA17" s="80"/>
    </row>
    <row r="18" spans="1:53" ht="75" x14ac:dyDescent="0.25">
      <c r="A18" s="95">
        <v>7</v>
      </c>
      <c r="B18" s="96">
        <v>2</v>
      </c>
      <c r="C18" s="97">
        <f>A18</f>
        <v>7</v>
      </c>
      <c r="D18" s="97" t="s">
        <v>24</v>
      </c>
      <c r="E18" s="4"/>
      <c r="F18" s="4">
        <v>1</v>
      </c>
      <c r="G18" s="4">
        <f t="shared" si="2"/>
        <v>17</v>
      </c>
      <c r="H18" s="4" t="s">
        <v>143</v>
      </c>
      <c r="I18" s="4" t="s">
        <v>7</v>
      </c>
      <c r="J18" s="4" t="s">
        <v>149</v>
      </c>
      <c r="K18" s="4" t="s">
        <v>12</v>
      </c>
      <c r="L18" s="4" t="s">
        <v>195</v>
      </c>
      <c r="M18" s="31" t="s">
        <v>33</v>
      </c>
      <c r="N18" s="31" t="s">
        <v>14</v>
      </c>
      <c r="O18" s="98" t="s">
        <v>217</v>
      </c>
      <c r="P18" s="4" t="s">
        <v>14</v>
      </c>
      <c r="Q18" s="4" t="s">
        <v>170</v>
      </c>
      <c r="R18" s="4" t="s">
        <v>30</v>
      </c>
      <c r="S18" s="31" t="s">
        <v>14</v>
      </c>
      <c r="T18" s="32" t="s">
        <v>32</v>
      </c>
      <c r="U18" s="32" t="s">
        <v>14</v>
      </c>
      <c r="V18" s="32" t="s">
        <v>14</v>
      </c>
      <c r="W18" s="32" t="s">
        <v>14</v>
      </c>
      <c r="X18" s="31" t="s">
        <v>32</v>
      </c>
      <c r="Y18" s="31" t="s">
        <v>14</v>
      </c>
      <c r="Z18" s="31" t="s">
        <v>14</v>
      </c>
      <c r="AA18" s="31" t="s">
        <v>14</v>
      </c>
      <c r="AB18" s="99" t="s">
        <v>196</v>
      </c>
      <c r="AC18" s="99" t="s">
        <v>17</v>
      </c>
      <c r="AD18" s="6">
        <v>7</v>
      </c>
      <c r="AE18" s="6" t="s">
        <v>143</v>
      </c>
      <c r="AF18" s="6" t="s">
        <v>136</v>
      </c>
      <c r="AG18" s="128" t="s">
        <v>13</v>
      </c>
      <c r="AH18" s="6" t="s">
        <v>221</v>
      </c>
      <c r="AI18" s="6" t="s">
        <v>12</v>
      </c>
      <c r="AJ18" s="6" t="s">
        <v>195</v>
      </c>
      <c r="AK18" s="100" t="s">
        <v>33</v>
      </c>
      <c r="AL18" s="100" t="s">
        <v>14</v>
      </c>
      <c r="AM18" s="98" t="s">
        <v>213</v>
      </c>
      <c r="AN18" s="6" t="s">
        <v>222</v>
      </c>
      <c r="AO18" s="6" t="s">
        <v>219</v>
      </c>
      <c r="AP18" s="6" t="s">
        <v>29</v>
      </c>
      <c r="AQ18" s="100" t="s">
        <v>14</v>
      </c>
      <c r="AR18" s="49" t="s">
        <v>32</v>
      </c>
      <c r="AS18" s="49" t="s">
        <v>14</v>
      </c>
      <c r="AT18" s="49" t="s">
        <v>14</v>
      </c>
      <c r="AU18" s="49" t="s">
        <v>14</v>
      </c>
      <c r="AV18" s="100" t="s">
        <v>32</v>
      </c>
      <c r="AW18" s="100" t="s">
        <v>14</v>
      </c>
      <c r="AX18" s="100" t="s">
        <v>14</v>
      </c>
      <c r="AY18" s="100" t="s">
        <v>14</v>
      </c>
      <c r="AZ18" s="99" t="s">
        <v>196</v>
      </c>
      <c r="BA18" s="74" t="s">
        <v>17</v>
      </c>
    </row>
    <row r="19" spans="1:53" ht="105" x14ac:dyDescent="0.25">
      <c r="A19" s="110">
        <v>7</v>
      </c>
      <c r="B19" s="81">
        <v>2</v>
      </c>
      <c r="C19" s="82">
        <f t="shared" ref="C19:C20" si="12">A19</f>
        <v>7</v>
      </c>
      <c r="D19" s="82" t="s">
        <v>24</v>
      </c>
      <c r="E19" s="56">
        <v>4</v>
      </c>
      <c r="F19" s="5"/>
      <c r="G19" s="5">
        <f t="shared" si="2"/>
        <v>18</v>
      </c>
      <c r="H19" s="56" t="s">
        <v>143</v>
      </c>
      <c r="I19" s="51" t="s">
        <v>13</v>
      </c>
      <c r="J19" s="51" t="s">
        <v>150</v>
      </c>
      <c r="K19" s="62" t="s">
        <v>12</v>
      </c>
      <c r="L19" s="5" t="s">
        <v>195</v>
      </c>
      <c r="M19" s="76" t="s">
        <v>140</v>
      </c>
      <c r="N19" s="76" t="s">
        <v>14</v>
      </c>
      <c r="O19" s="83" t="s">
        <v>212</v>
      </c>
      <c r="P19" s="5" t="s">
        <v>14</v>
      </c>
      <c r="Q19" s="5" t="s">
        <v>170</v>
      </c>
      <c r="R19" s="5" t="s">
        <v>29</v>
      </c>
      <c r="S19" s="76" t="s">
        <v>14</v>
      </c>
      <c r="T19" s="75" t="s">
        <v>32</v>
      </c>
      <c r="U19" s="75" t="s">
        <v>14</v>
      </c>
      <c r="V19" s="75" t="s">
        <v>14</v>
      </c>
      <c r="W19" s="75" t="s">
        <v>14</v>
      </c>
      <c r="X19" s="76" t="s">
        <v>32</v>
      </c>
      <c r="Y19" s="76" t="s">
        <v>14</v>
      </c>
      <c r="Z19" s="76" t="s">
        <v>14</v>
      </c>
      <c r="AA19" s="76" t="s">
        <v>14</v>
      </c>
      <c r="AB19" s="84" t="s">
        <v>196</v>
      </c>
      <c r="AC19" s="84" t="s">
        <v>17</v>
      </c>
      <c r="AD19" s="60">
        <v>7</v>
      </c>
      <c r="AE19" s="60" t="s">
        <v>143</v>
      </c>
      <c r="AF19" s="60"/>
      <c r="AG19" s="87" t="s">
        <v>13</v>
      </c>
      <c r="AH19" s="60" t="s">
        <v>221</v>
      </c>
      <c r="AI19" s="60" t="s">
        <v>12</v>
      </c>
      <c r="AJ19" s="60"/>
      <c r="AK19" s="85"/>
      <c r="AL19" s="85"/>
      <c r="AM19" s="60"/>
      <c r="AN19" s="60"/>
      <c r="AO19" s="60"/>
      <c r="AP19" s="60"/>
      <c r="AQ19" s="85"/>
      <c r="AR19" s="61"/>
      <c r="AS19" s="61"/>
      <c r="AT19" s="61"/>
      <c r="AU19" s="61"/>
      <c r="AV19" s="85"/>
      <c r="AW19" s="85"/>
      <c r="AX19" s="85"/>
      <c r="AY19" s="85"/>
      <c r="AZ19" s="84"/>
      <c r="BA19" s="77"/>
    </row>
    <row r="20" spans="1:53" ht="30.75" thickBot="1" x14ac:dyDescent="0.3">
      <c r="A20" s="101">
        <v>7</v>
      </c>
      <c r="B20" s="102">
        <v>2</v>
      </c>
      <c r="C20" s="103">
        <f t="shared" si="12"/>
        <v>7</v>
      </c>
      <c r="D20" s="103" t="s">
        <v>24</v>
      </c>
      <c r="E20" s="111">
        <v>5</v>
      </c>
      <c r="F20" s="64"/>
      <c r="G20" s="64">
        <f t="shared" si="2"/>
        <v>19</v>
      </c>
      <c r="H20" s="66" t="s">
        <v>143</v>
      </c>
      <c r="I20" s="66" t="s">
        <v>13</v>
      </c>
      <c r="J20" s="131" t="s">
        <v>151</v>
      </c>
      <c r="K20" s="64" t="s">
        <v>12</v>
      </c>
      <c r="L20" s="64" t="s">
        <v>195</v>
      </c>
      <c r="M20" s="132" t="s">
        <v>171</v>
      </c>
      <c r="N20" s="79" t="s">
        <v>14</v>
      </c>
      <c r="O20" s="104" t="s">
        <v>216</v>
      </c>
      <c r="P20" s="64" t="s">
        <v>14</v>
      </c>
      <c r="Q20" s="64" t="s">
        <v>170</v>
      </c>
      <c r="R20" s="64" t="s">
        <v>29</v>
      </c>
      <c r="S20" s="79" t="s">
        <v>14</v>
      </c>
      <c r="T20" s="78" t="s">
        <v>32</v>
      </c>
      <c r="U20" s="78" t="s">
        <v>14</v>
      </c>
      <c r="V20" s="78" t="s">
        <v>14</v>
      </c>
      <c r="W20" s="78" t="s">
        <v>14</v>
      </c>
      <c r="X20" s="79" t="s">
        <v>32</v>
      </c>
      <c r="Y20" s="79" t="s">
        <v>14</v>
      </c>
      <c r="Z20" s="79" t="s">
        <v>14</v>
      </c>
      <c r="AA20" s="79" t="s">
        <v>14</v>
      </c>
      <c r="AB20" s="105" t="s">
        <v>196</v>
      </c>
      <c r="AC20" s="105" t="s">
        <v>17</v>
      </c>
      <c r="AD20" s="106">
        <v>7</v>
      </c>
      <c r="AE20" s="106" t="s">
        <v>143</v>
      </c>
      <c r="AF20" s="106"/>
      <c r="AG20" s="129" t="s">
        <v>13</v>
      </c>
      <c r="AH20" s="106" t="s">
        <v>221</v>
      </c>
      <c r="AI20" s="106" t="s">
        <v>12</v>
      </c>
      <c r="AJ20" s="106"/>
      <c r="AK20" s="107"/>
      <c r="AL20" s="107"/>
      <c r="AM20" s="106"/>
      <c r="AN20" s="106"/>
      <c r="AO20" s="106"/>
      <c r="AP20" s="106"/>
      <c r="AQ20" s="107"/>
      <c r="AR20" s="108"/>
      <c r="AS20" s="108"/>
      <c r="AT20" s="108"/>
      <c r="AU20" s="108"/>
      <c r="AV20" s="107"/>
      <c r="AW20" s="107"/>
      <c r="AX20" s="107"/>
      <c r="AY20" s="107"/>
      <c r="AZ20" s="105"/>
      <c r="BA20" s="80"/>
    </row>
    <row r="21" spans="1:53" ht="30.75" thickBot="1" x14ac:dyDescent="0.3">
      <c r="A21" s="113">
        <v>8</v>
      </c>
      <c r="B21" s="114">
        <v>2</v>
      </c>
      <c r="C21" s="115">
        <f t="shared" ref="C21" si="13">A21</f>
        <v>8</v>
      </c>
      <c r="D21" s="115" t="s">
        <v>24</v>
      </c>
      <c r="E21" s="116"/>
      <c r="F21" s="116">
        <v>2</v>
      </c>
      <c r="G21" s="116">
        <f t="shared" si="2"/>
        <v>20</v>
      </c>
      <c r="H21" s="116" t="s">
        <v>143</v>
      </c>
      <c r="I21" s="116" t="s">
        <v>7</v>
      </c>
      <c r="J21" s="117" t="s">
        <v>152</v>
      </c>
      <c r="K21" s="116" t="s">
        <v>12</v>
      </c>
      <c r="L21" s="116" t="s">
        <v>195</v>
      </c>
      <c r="M21" s="118" t="s">
        <v>172</v>
      </c>
      <c r="N21" s="119" t="s">
        <v>14</v>
      </c>
      <c r="O21" s="120" t="s">
        <v>214</v>
      </c>
      <c r="P21" s="116" t="s">
        <v>14</v>
      </c>
      <c r="Q21" s="116" t="s">
        <v>170</v>
      </c>
      <c r="R21" s="116" t="s">
        <v>29</v>
      </c>
      <c r="S21" s="119" t="s">
        <v>14</v>
      </c>
      <c r="T21" s="121" t="s">
        <v>32</v>
      </c>
      <c r="U21" s="121" t="s">
        <v>14</v>
      </c>
      <c r="V21" s="121" t="s">
        <v>14</v>
      </c>
      <c r="W21" s="121" t="s">
        <v>14</v>
      </c>
      <c r="X21" s="119" t="s">
        <v>32</v>
      </c>
      <c r="Y21" s="119" t="s">
        <v>14</v>
      </c>
      <c r="Z21" s="119" t="s">
        <v>14</v>
      </c>
      <c r="AA21" s="119" t="s">
        <v>14</v>
      </c>
      <c r="AB21" s="122" t="s">
        <v>196</v>
      </c>
      <c r="AC21" s="122" t="s">
        <v>17</v>
      </c>
      <c r="AD21" s="123">
        <v>8</v>
      </c>
      <c r="AE21" s="123" t="s">
        <v>143</v>
      </c>
      <c r="AF21" s="123" t="s">
        <v>136</v>
      </c>
      <c r="AG21" s="134" t="s">
        <v>13</v>
      </c>
      <c r="AH21" s="123" t="s">
        <v>220</v>
      </c>
      <c r="AI21" s="123" t="s">
        <v>12</v>
      </c>
      <c r="AJ21" s="123" t="s">
        <v>195</v>
      </c>
      <c r="AK21" s="125" t="s">
        <v>33</v>
      </c>
      <c r="AL21" s="125" t="s">
        <v>14</v>
      </c>
      <c r="AM21" s="120" t="s">
        <v>199</v>
      </c>
      <c r="AN21" s="123" t="s">
        <v>223</v>
      </c>
      <c r="AO21" s="123" t="s">
        <v>219</v>
      </c>
      <c r="AP21" s="123" t="s">
        <v>29</v>
      </c>
      <c r="AQ21" s="125" t="s">
        <v>14</v>
      </c>
      <c r="AR21" s="126" t="s">
        <v>32</v>
      </c>
      <c r="AS21" s="126" t="s">
        <v>14</v>
      </c>
      <c r="AT21" s="126" t="s">
        <v>14</v>
      </c>
      <c r="AU21" s="126" t="s">
        <v>14</v>
      </c>
      <c r="AV21" s="125" t="s">
        <v>32</v>
      </c>
      <c r="AW21" s="125" t="s">
        <v>14</v>
      </c>
      <c r="AX21" s="125" t="s">
        <v>14</v>
      </c>
      <c r="AY21" s="125" t="s">
        <v>14</v>
      </c>
      <c r="AZ21" s="122" t="s">
        <v>196</v>
      </c>
      <c r="BA21" s="127" t="s">
        <v>17</v>
      </c>
    </row>
    <row r="22" spans="1:53" x14ac:dyDescent="0.25"/>
    <row r="23" spans="1:53" x14ac:dyDescent="0.25"/>
    <row r="24" spans="1:53" x14ac:dyDescent="0.25"/>
    <row r="25" spans="1:53" x14ac:dyDescent="0.25"/>
    <row r="26" spans="1:53" x14ac:dyDescent="0.25"/>
    <row r="27" spans="1:53" x14ac:dyDescent="0.25"/>
    <row r="28" spans="1:53" x14ac:dyDescent="0.25"/>
    <row r="29" spans="1:53" x14ac:dyDescent="0.25"/>
    <row r="30" spans="1:53" x14ac:dyDescent="0.25"/>
    <row r="31" spans="1:53" x14ac:dyDescent="0.25"/>
    <row r="32" spans="1:53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</sheetData>
  <autoFilter ref="A1:BA21" xr:uid="{81AA260C-798C-4AE5-8FFD-D097260F58C5}"/>
  <phoneticPr fontId="9" type="noConversion"/>
  <pageMargins left="0.7" right="0.7" top="0.75" bottom="0.75" header="0.3" footer="0.3"/>
  <pageSetup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84AF-4DD3-4B50-9D71-8055E9ACCAA4}">
  <sheetPr>
    <tabColor rgb="FF92D050"/>
  </sheetPr>
  <dimension ref="A1:X9"/>
  <sheetViews>
    <sheetView tabSelected="1" zoomScale="70" zoomScaleNormal="70" workbookViewId="0">
      <pane ySplit="1" topLeftCell="A6" activePane="bottomLeft" state="frozen"/>
      <selection pane="bottomLeft" activeCell="G10" sqref="G10"/>
    </sheetView>
  </sheetViews>
  <sheetFormatPr defaultColWidth="8.85546875" defaultRowHeight="15" x14ac:dyDescent="0.25"/>
  <cols>
    <col min="1" max="1" width="11.28515625" style="54" customWidth="1"/>
    <col min="2" max="2" width="11.85546875" style="54" customWidth="1"/>
    <col min="3" max="3" width="13.28515625" style="54" customWidth="1"/>
    <col min="4" max="4" width="18" style="54" customWidth="1"/>
    <col min="5" max="5" width="22.28515625" style="54" customWidth="1"/>
    <col min="6" max="6" width="21.28515625" style="54" customWidth="1"/>
    <col min="7" max="7" width="23.5703125" style="54" bestFit="1" customWidth="1"/>
    <col min="8" max="9" width="22.28515625" style="54" customWidth="1"/>
    <col min="10" max="10" width="150.140625" style="54" customWidth="1"/>
    <col min="11" max="11" width="13.140625" style="54" customWidth="1"/>
    <col min="12" max="12" width="27.42578125" style="54" bestFit="1" customWidth="1"/>
    <col min="13" max="13" width="19.7109375" style="54" customWidth="1"/>
    <col min="14" max="14" width="21.140625" style="54" customWidth="1"/>
    <col min="15" max="15" width="23.42578125" style="54" customWidth="1"/>
    <col min="16" max="16" width="23.85546875" style="54" customWidth="1"/>
    <col min="17" max="17" width="26.28515625" style="54" customWidth="1"/>
    <col min="18" max="18" width="26.140625" style="54" customWidth="1"/>
    <col min="19" max="19" width="25.7109375" style="54" customWidth="1"/>
    <col min="20" max="20" width="24.85546875" style="54" customWidth="1"/>
    <col min="21" max="21" width="28.28515625" style="54" customWidth="1"/>
    <col min="22" max="22" width="26.7109375" style="54" customWidth="1"/>
    <col min="23" max="23" width="23.140625" style="54" customWidth="1"/>
    <col min="24" max="24" width="21.5703125" style="54" customWidth="1"/>
    <col min="25" max="16384" width="8.85546875" style="54"/>
  </cols>
  <sheetData>
    <row r="1" spans="1:24" ht="67.900000000000006" customHeight="1" thickBot="1" x14ac:dyDescent="0.3">
      <c r="A1" s="52" t="s">
        <v>131</v>
      </c>
      <c r="B1" s="11" t="s">
        <v>138</v>
      </c>
      <c r="C1" s="10" t="s">
        <v>134</v>
      </c>
      <c r="D1" s="26" t="s">
        <v>132</v>
      </c>
      <c r="E1" s="46" t="s">
        <v>9</v>
      </c>
      <c r="F1" s="46" t="s">
        <v>16</v>
      </c>
      <c r="G1" s="53" t="s">
        <v>27</v>
      </c>
      <c r="H1" s="28" t="s">
        <v>111</v>
      </c>
      <c r="I1" s="29" t="s">
        <v>112</v>
      </c>
      <c r="J1" s="26" t="s">
        <v>113</v>
      </c>
      <c r="K1" s="7" t="s">
        <v>114</v>
      </c>
      <c r="L1" s="7" t="s">
        <v>115</v>
      </c>
      <c r="M1" s="11" t="s">
        <v>116</v>
      </c>
      <c r="N1" s="19" t="s">
        <v>117</v>
      </c>
      <c r="O1" s="23" t="s">
        <v>118</v>
      </c>
      <c r="P1" s="13" t="s">
        <v>119</v>
      </c>
      <c r="Q1" s="12" t="s">
        <v>120</v>
      </c>
      <c r="R1" s="24" t="s">
        <v>121</v>
      </c>
      <c r="S1" s="21" t="s">
        <v>122</v>
      </c>
      <c r="T1" s="58" t="s">
        <v>123</v>
      </c>
      <c r="U1" s="58" t="s">
        <v>124</v>
      </c>
      <c r="V1" s="14" t="s">
        <v>125</v>
      </c>
      <c r="W1" s="9" t="s">
        <v>28</v>
      </c>
      <c r="X1" s="10" t="s">
        <v>71</v>
      </c>
    </row>
    <row r="2" spans="1:24" ht="278.25" customHeight="1" thickBot="1" x14ac:dyDescent="0.3">
      <c r="A2" s="57">
        <v>1</v>
      </c>
      <c r="B2" s="27" t="s">
        <v>142</v>
      </c>
      <c r="C2" s="50" t="s">
        <v>135</v>
      </c>
      <c r="D2" s="47" t="s">
        <v>133</v>
      </c>
      <c r="E2" s="6" t="s">
        <v>144</v>
      </c>
      <c r="F2" s="6" t="s">
        <v>12</v>
      </c>
      <c r="G2" s="45" t="s">
        <v>195</v>
      </c>
      <c r="H2" s="30" t="s">
        <v>33</v>
      </c>
      <c r="I2" s="16" t="s">
        <v>14</v>
      </c>
      <c r="J2" s="71" t="s">
        <v>200</v>
      </c>
      <c r="K2" s="6" t="s">
        <v>14</v>
      </c>
      <c r="L2" s="6" t="s">
        <v>197</v>
      </c>
      <c r="M2" s="45" t="s">
        <v>29</v>
      </c>
      <c r="N2" s="20" t="s">
        <v>14</v>
      </c>
      <c r="O2" s="48" t="s">
        <v>32</v>
      </c>
      <c r="P2" s="49" t="s">
        <v>14</v>
      </c>
      <c r="Q2" s="49" t="s">
        <v>14</v>
      </c>
      <c r="R2" s="25" t="s">
        <v>14</v>
      </c>
      <c r="S2" s="22" t="s">
        <v>32</v>
      </c>
      <c r="T2" s="15" t="s">
        <v>14</v>
      </c>
      <c r="U2" s="15" t="s">
        <v>14</v>
      </c>
      <c r="V2" s="15" t="s">
        <v>14</v>
      </c>
      <c r="W2" s="8" t="s">
        <v>196</v>
      </c>
      <c r="X2" s="8" t="s">
        <v>17</v>
      </c>
    </row>
    <row r="3" spans="1:24" ht="259.89999999999998" customHeight="1" thickBot="1" x14ac:dyDescent="0.3">
      <c r="A3" s="57">
        <f>1+A2</f>
        <v>2</v>
      </c>
      <c r="B3" s="27" t="s">
        <v>142</v>
      </c>
      <c r="C3" s="50" t="s">
        <v>136</v>
      </c>
      <c r="D3" s="63" t="s">
        <v>13</v>
      </c>
      <c r="E3" s="6" t="s">
        <v>153</v>
      </c>
      <c r="F3" s="6" t="s">
        <v>12</v>
      </c>
      <c r="G3" s="45" t="s">
        <v>195</v>
      </c>
      <c r="H3" s="30" t="s">
        <v>33</v>
      </c>
      <c r="I3" s="16" t="s">
        <v>14</v>
      </c>
      <c r="J3" s="70" t="s">
        <v>213</v>
      </c>
      <c r="K3" s="6" t="s">
        <v>14</v>
      </c>
      <c r="L3" s="6" t="s">
        <v>197</v>
      </c>
      <c r="M3" s="45" t="s">
        <v>29</v>
      </c>
      <c r="N3" s="20" t="s">
        <v>14</v>
      </c>
      <c r="O3" s="48" t="s">
        <v>32</v>
      </c>
      <c r="P3" s="49" t="s">
        <v>14</v>
      </c>
      <c r="Q3" s="49" t="s">
        <v>14</v>
      </c>
      <c r="R3" s="25" t="s">
        <v>14</v>
      </c>
      <c r="S3" s="22" t="s">
        <v>32</v>
      </c>
      <c r="T3" s="15" t="s">
        <v>14</v>
      </c>
      <c r="U3" s="15" t="s">
        <v>14</v>
      </c>
      <c r="V3" s="15" t="s">
        <v>14</v>
      </c>
      <c r="W3" s="8" t="s">
        <v>196</v>
      </c>
      <c r="X3" s="8" t="s">
        <v>17</v>
      </c>
    </row>
    <row r="4" spans="1:24" ht="60.75" thickBot="1" x14ac:dyDescent="0.3">
      <c r="A4" s="57">
        <f t="shared" ref="A4:A9" si="0">1+A3</f>
        <v>3</v>
      </c>
      <c r="B4" s="27" t="s">
        <v>142</v>
      </c>
      <c r="C4" s="50" t="s">
        <v>136</v>
      </c>
      <c r="D4" s="63" t="s">
        <v>13</v>
      </c>
      <c r="E4" s="6" t="s">
        <v>154</v>
      </c>
      <c r="F4" s="6" t="s">
        <v>12</v>
      </c>
      <c r="G4" s="45" t="s">
        <v>195</v>
      </c>
      <c r="H4" s="30" t="s">
        <v>33</v>
      </c>
      <c r="I4" s="16" t="s">
        <v>14</v>
      </c>
      <c r="J4" s="70" t="s">
        <v>199</v>
      </c>
      <c r="K4" s="6" t="s">
        <v>14</v>
      </c>
      <c r="L4" s="6" t="s">
        <v>197</v>
      </c>
      <c r="M4" s="45" t="s">
        <v>29</v>
      </c>
      <c r="N4" s="20" t="s">
        <v>14</v>
      </c>
      <c r="O4" s="48" t="s">
        <v>32</v>
      </c>
      <c r="P4" s="49" t="s">
        <v>14</v>
      </c>
      <c r="Q4" s="49" t="s">
        <v>14</v>
      </c>
      <c r="R4" s="25" t="s">
        <v>14</v>
      </c>
      <c r="S4" s="22" t="s">
        <v>32</v>
      </c>
      <c r="T4" s="15" t="s">
        <v>14</v>
      </c>
      <c r="U4" s="15" t="s">
        <v>14</v>
      </c>
      <c r="V4" s="15" t="s">
        <v>14</v>
      </c>
      <c r="W4" s="8" t="s">
        <v>196</v>
      </c>
      <c r="X4" s="8" t="s">
        <v>17</v>
      </c>
    </row>
    <row r="5" spans="1:24" ht="140.1" customHeight="1" thickBot="1" x14ac:dyDescent="0.3">
      <c r="A5" s="57">
        <f t="shared" si="0"/>
        <v>4</v>
      </c>
      <c r="B5" s="27" t="s">
        <v>143</v>
      </c>
      <c r="C5" s="50" t="s">
        <v>136</v>
      </c>
      <c r="D5" s="65" t="s">
        <v>13</v>
      </c>
      <c r="E5" s="6" t="s">
        <v>150</v>
      </c>
      <c r="F5" s="6" t="s">
        <v>12</v>
      </c>
      <c r="G5" s="45" t="s">
        <v>195</v>
      </c>
      <c r="H5" s="30" t="s">
        <v>140</v>
      </c>
      <c r="I5" s="16" t="s">
        <v>14</v>
      </c>
      <c r="J5" s="71" t="s">
        <v>212</v>
      </c>
      <c r="K5" s="6" t="s">
        <v>14</v>
      </c>
      <c r="L5" s="6" t="s">
        <v>198</v>
      </c>
      <c r="M5" s="45" t="s">
        <v>29</v>
      </c>
      <c r="N5" s="20" t="s">
        <v>14</v>
      </c>
      <c r="O5" s="48" t="s">
        <v>32</v>
      </c>
      <c r="P5" s="49" t="s">
        <v>14</v>
      </c>
      <c r="Q5" s="49" t="s">
        <v>14</v>
      </c>
      <c r="R5" s="25" t="s">
        <v>14</v>
      </c>
      <c r="S5" s="22" t="s">
        <v>32</v>
      </c>
      <c r="T5" s="15" t="s">
        <v>14</v>
      </c>
      <c r="U5" s="15" t="s">
        <v>14</v>
      </c>
      <c r="V5" s="15" t="s">
        <v>14</v>
      </c>
      <c r="W5" s="8" t="s">
        <v>196</v>
      </c>
      <c r="X5" s="8" t="s">
        <v>17</v>
      </c>
    </row>
    <row r="6" spans="1:24" ht="30.75" thickBot="1" x14ac:dyDescent="0.3">
      <c r="A6" s="57">
        <f t="shared" si="0"/>
        <v>5</v>
      </c>
      <c r="B6" s="27" t="s">
        <v>142</v>
      </c>
      <c r="C6" s="50" t="s">
        <v>136</v>
      </c>
      <c r="D6" s="65" t="s">
        <v>13</v>
      </c>
      <c r="E6" s="59" t="s">
        <v>151</v>
      </c>
      <c r="F6" s="6" t="s">
        <v>12</v>
      </c>
      <c r="G6" s="45" t="s">
        <v>195</v>
      </c>
      <c r="H6" s="30" t="s">
        <v>171</v>
      </c>
      <c r="I6" s="16" t="s">
        <v>14</v>
      </c>
      <c r="J6" s="72" t="s">
        <v>201</v>
      </c>
      <c r="K6" s="6" t="s">
        <v>14</v>
      </c>
      <c r="L6" s="6" t="s">
        <v>170</v>
      </c>
      <c r="M6" s="45" t="s">
        <v>29</v>
      </c>
      <c r="N6" s="20" t="s">
        <v>14</v>
      </c>
      <c r="O6" s="48" t="s">
        <v>32</v>
      </c>
      <c r="P6" s="49" t="s">
        <v>14</v>
      </c>
      <c r="Q6" s="49" t="s">
        <v>14</v>
      </c>
      <c r="R6" s="25" t="s">
        <v>14</v>
      </c>
      <c r="S6" s="22" t="s">
        <v>32</v>
      </c>
      <c r="T6" s="15" t="s">
        <v>14</v>
      </c>
      <c r="U6" s="15" t="s">
        <v>14</v>
      </c>
      <c r="V6" s="15" t="s">
        <v>14</v>
      </c>
      <c r="W6" s="8" t="s">
        <v>196</v>
      </c>
      <c r="X6" s="8" t="s">
        <v>17</v>
      </c>
    </row>
    <row r="7" spans="1:24" ht="291.75" customHeight="1" thickBot="1" x14ac:dyDescent="0.3">
      <c r="A7" s="57">
        <f t="shared" si="0"/>
        <v>6</v>
      </c>
      <c r="B7" s="27" t="s">
        <v>143</v>
      </c>
      <c r="C7" s="50" t="s">
        <v>135</v>
      </c>
      <c r="D7" s="47" t="s">
        <v>133</v>
      </c>
      <c r="E7" s="6" t="s">
        <v>218</v>
      </c>
      <c r="F7" s="6" t="s">
        <v>12</v>
      </c>
      <c r="G7" s="45" t="s">
        <v>195</v>
      </c>
      <c r="H7" s="30" t="s">
        <v>33</v>
      </c>
      <c r="I7" s="16" t="s">
        <v>14</v>
      </c>
      <c r="J7" s="71" t="s">
        <v>200</v>
      </c>
      <c r="K7" s="6" t="s">
        <v>223</v>
      </c>
      <c r="L7" s="6" t="s">
        <v>219</v>
      </c>
      <c r="M7" s="45" t="s">
        <v>29</v>
      </c>
      <c r="N7" s="20" t="s">
        <v>14</v>
      </c>
      <c r="O7" s="48" t="s">
        <v>32</v>
      </c>
      <c r="P7" s="49" t="s">
        <v>14</v>
      </c>
      <c r="Q7" s="49" t="s">
        <v>14</v>
      </c>
      <c r="R7" s="25" t="s">
        <v>14</v>
      </c>
      <c r="S7" s="22" t="s">
        <v>32</v>
      </c>
      <c r="T7" s="15" t="s">
        <v>14</v>
      </c>
      <c r="U7" s="15" t="s">
        <v>14</v>
      </c>
      <c r="V7" s="15" t="s">
        <v>14</v>
      </c>
      <c r="W7" s="8" t="s">
        <v>196</v>
      </c>
      <c r="X7" s="8" t="s">
        <v>17</v>
      </c>
    </row>
    <row r="8" spans="1:24" ht="132.75" customHeight="1" thickBot="1" x14ac:dyDescent="0.3">
      <c r="A8" s="57">
        <f t="shared" si="0"/>
        <v>7</v>
      </c>
      <c r="B8" s="27" t="s">
        <v>143</v>
      </c>
      <c r="C8" s="50" t="s">
        <v>136</v>
      </c>
      <c r="D8" s="65" t="s">
        <v>13</v>
      </c>
      <c r="E8" s="6" t="s">
        <v>221</v>
      </c>
      <c r="F8" s="6" t="s">
        <v>12</v>
      </c>
      <c r="G8" s="45" t="s">
        <v>195</v>
      </c>
      <c r="H8" s="30" t="s">
        <v>33</v>
      </c>
      <c r="I8" s="16" t="s">
        <v>14</v>
      </c>
      <c r="J8" s="70" t="s">
        <v>213</v>
      </c>
      <c r="K8" s="6" t="s">
        <v>222</v>
      </c>
      <c r="L8" s="6" t="s">
        <v>219</v>
      </c>
      <c r="M8" s="45" t="s">
        <v>29</v>
      </c>
      <c r="N8" s="20" t="s">
        <v>14</v>
      </c>
      <c r="O8" s="48" t="s">
        <v>32</v>
      </c>
      <c r="P8" s="49" t="s">
        <v>14</v>
      </c>
      <c r="Q8" s="49" t="s">
        <v>14</v>
      </c>
      <c r="R8" s="25" t="s">
        <v>14</v>
      </c>
      <c r="S8" s="22" t="s">
        <v>32</v>
      </c>
      <c r="T8" s="15" t="s">
        <v>14</v>
      </c>
      <c r="U8" s="15" t="s">
        <v>14</v>
      </c>
      <c r="V8" s="15" t="s">
        <v>14</v>
      </c>
      <c r="W8" s="8" t="s">
        <v>196</v>
      </c>
      <c r="X8" s="8" t="s">
        <v>17</v>
      </c>
    </row>
    <row r="9" spans="1:24" ht="42.75" customHeight="1" x14ac:dyDescent="0.25">
      <c r="A9" s="57">
        <f t="shared" si="0"/>
        <v>8</v>
      </c>
      <c r="B9" s="27" t="s">
        <v>143</v>
      </c>
      <c r="C9" s="50" t="s">
        <v>136</v>
      </c>
      <c r="D9" s="65" t="s">
        <v>13</v>
      </c>
      <c r="E9" s="6" t="s">
        <v>220</v>
      </c>
      <c r="F9" s="6" t="s">
        <v>12</v>
      </c>
      <c r="G9" s="45" t="s">
        <v>195</v>
      </c>
      <c r="H9" s="30" t="s">
        <v>33</v>
      </c>
      <c r="I9" s="16" t="s">
        <v>14</v>
      </c>
      <c r="J9" s="70" t="s">
        <v>199</v>
      </c>
      <c r="K9" s="6" t="s">
        <v>223</v>
      </c>
      <c r="L9" s="6" t="s">
        <v>219</v>
      </c>
      <c r="M9" s="45" t="s">
        <v>29</v>
      </c>
      <c r="N9" s="20" t="s">
        <v>14</v>
      </c>
      <c r="O9" s="48" t="s">
        <v>32</v>
      </c>
      <c r="P9" s="49" t="s">
        <v>14</v>
      </c>
      <c r="Q9" s="49" t="s">
        <v>14</v>
      </c>
      <c r="R9" s="25" t="s">
        <v>14</v>
      </c>
      <c r="S9" s="22" t="s">
        <v>32</v>
      </c>
      <c r="T9" s="15" t="s">
        <v>14</v>
      </c>
      <c r="U9" s="15" t="s">
        <v>14</v>
      </c>
      <c r="V9" s="15" t="s">
        <v>14</v>
      </c>
      <c r="W9" s="8" t="s">
        <v>196</v>
      </c>
      <c r="X9" s="8" t="s">
        <v>17</v>
      </c>
    </row>
  </sheetData>
  <autoFilter ref="A1:X9" xr:uid="{CF6684AF-4DD3-4B50-9D71-8055E9ACCAA4}"/>
  <phoneticPr fontId="9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EC58-8319-45DD-BCC8-AAAEA4BCADEA}">
  <dimension ref="A1:B8"/>
  <sheetViews>
    <sheetView workbookViewId="0">
      <selection activeCell="F36" sqref="F36"/>
    </sheetView>
  </sheetViews>
  <sheetFormatPr defaultRowHeight="15" x14ac:dyDescent="0.25"/>
  <sheetData>
    <row r="1" spans="1:2" x14ac:dyDescent="0.25">
      <c r="A1" s="2" t="s">
        <v>18</v>
      </c>
    </row>
    <row r="2" spans="1:2" x14ac:dyDescent="0.25">
      <c r="A2" s="1">
        <v>1</v>
      </c>
    </row>
    <row r="6" spans="1:2" x14ac:dyDescent="0.25">
      <c r="A6" s="2" t="s">
        <v>19</v>
      </c>
    </row>
    <row r="7" spans="1:2" x14ac:dyDescent="0.25">
      <c r="A7" s="1">
        <v>1</v>
      </c>
      <c r="B7" t="s">
        <v>20</v>
      </c>
    </row>
    <row r="8" spans="1:2" x14ac:dyDescent="0.25">
      <c r="A8" s="1">
        <v>2</v>
      </c>
      <c r="B8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3CDA-62EC-4C57-B6AB-8F0CF90F2355}">
  <dimension ref="A1:F16"/>
  <sheetViews>
    <sheetView workbookViewId="0">
      <selection activeCell="B33" sqref="B33"/>
    </sheetView>
  </sheetViews>
  <sheetFormatPr defaultRowHeight="15" x14ac:dyDescent="0.25"/>
  <cols>
    <col min="1" max="1" width="51.140625" bestFit="1" customWidth="1"/>
    <col min="2" max="2" width="68" customWidth="1"/>
    <col min="3" max="3" width="59.28515625" customWidth="1"/>
    <col min="4" max="4" width="25.85546875" customWidth="1"/>
    <col min="5" max="5" width="21.85546875" customWidth="1"/>
    <col min="6" max="6" width="59.85546875" bestFit="1" customWidth="1"/>
  </cols>
  <sheetData>
    <row r="1" spans="1:6" x14ac:dyDescent="0.25">
      <c r="A1" t="s">
        <v>37</v>
      </c>
      <c r="D1" s="33"/>
    </row>
    <row r="2" spans="1:6" x14ac:dyDescent="0.25">
      <c r="A2">
        <v>1</v>
      </c>
      <c r="D2" s="33"/>
      <c r="E2">
        <v>2</v>
      </c>
    </row>
    <row r="3" spans="1:6" ht="39" customHeight="1" x14ac:dyDescent="0.25">
      <c r="A3" s="36" t="s">
        <v>42</v>
      </c>
      <c r="B3" s="37" t="s">
        <v>38</v>
      </c>
      <c r="C3" s="37" t="s">
        <v>85</v>
      </c>
      <c r="D3" s="38" t="s">
        <v>41</v>
      </c>
      <c r="E3" s="39" t="s">
        <v>63</v>
      </c>
      <c r="F3" s="37" t="s">
        <v>38</v>
      </c>
    </row>
    <row r="4" spans="1:6" ht="27.6" customHeight="1" x14ac:dyDescent="0.25">
      <c r="A4" t="s">
        <v>36</v>
      </c>
      <c r="B4" t="s">
        <v>54</v>
      </c>
      <c r="C4" t="s">
        <v>86</v>
      </c>
      <c r="D4" s="42" t="s">
        <v>88</v>
      </c>
      <c r="E4" t="s">
        <v>96</v>
      </c>
    </row>
    <row r="5" spans="1:6" x14ac:dyDescent="0.25">
      <c r="A5" s="34" t="s">
        <v>65</v>
      </c>
      <c r="B5" s="34" t="s">
        <v>84</v>
      </c>
      <c r="C5" s="34" t="s">
        <v>87</v>
      </c>
      <c r="D5" s="41" t="s">
        <v>89</v>
      </c>
      <c r="E5" t="s">
        <v>97</v>
      </c>
    </row>
    <row r="6" spans="1:6" x14ac:dyDescent="0.25">
      <c r="A6" t="s">
        <v>78</v>
      </c>
      <c r="B6" t="s">
        <v>39</v>
      </c>
      <c r="C6" t="s">
        <v>87</v>
      </c>
      <c r="D6" s="43" t="s">
        <v>90</v>
      </c>
      <c r="E6" t="s">
        <v>72</v>
      </c>
      <c r="F6" t="s">
        <v>69</v>
      </c>
    </row>
    <row r="7" spans="1:6" x14ac:dyDescent="0.25">
      <c r="A7" t="s">
        <v>79</v>
      </c>
      <c r="B7" t="s">
        <v>40</v>
      </c>
      <c r="C7" t="s">
        <v>87</v>
      </c>
      <c r="D7" s="43" t="s">
        <v>91</v>
      </c>
      <c r="E7" t="s">
        <v>73</v>
      </c>
    </row>
    <row r="8" spans="1:6" ht="30" x14ac:dyDescent="0.25">
      <c r="A8" t="s">
        <v>80</v>
      </c>
      <c r="B8" t="s">
        <v>82</v>
      </c>
      <c r="C8" t="s">
        <v>87</v>
      </c>
      <c r="D8" s="42" t="s">
        <v>92</v>
      </c>
      <c r="E8" t="s">
        <v>35</v>
      </c>
    </row>
    <row r="9" spans="1:6" x14ac:dyDescent="0.25">
      <c r="A9" t="s">
        <v>58</v>
      </c>
      <c r="B9" t="s">
        <v>60</v>
      </c>
      <c r="C9" t="s">
        <v>87</v>
      </c>
      <c r="D9" s="43" t="s">
        <v>93</v>
      </c>
      <c r="E9" t="s">
        <v>66</v>
      </c>
    </row>
    <row r="10" spans="1:6" x14ac:dyDescent="0.25">
      <c r="A10" s="34" t="s">
        <v>53</v>
      </c>
      <c r="B10" s="34" t="s">
        <v>83</v>
      </c>
      <c r="C10" s="34" t="s">
        <v>87</v>
      </c>
      <c r="D10" s="41">
        <v>3</v>
      </c>
      <c r="E10" t="s">
        <v>81</v>
      </c>
    </row>
    <row r="11" spans="1:6" x14ac:dyDescent="0.25">
      <c r="A11" s="34" t="s">
        <v>14</v>
      </c>
      <c r="B11" s="34" t="s">
        <v>59</v>
      </c>
      <c r="C11" t="s">
        <v>87</v>
      </c>
      <c r="D11" s="41">
        <v>1</v>
      </c>
      <c r="E11" t="s">
        <v>68</v>
      </c>
    </row>
    <row r="12" spans="1:6" ht="30" x14ac:dyDescent="0.25">
      <c r="A12" s="35" t="s">
        <v>61</v>
      </c>
      <c r="B12" s="40" t="s">
        <v>62</v>
      </c>
      <c r="C12" s="40" t="s">
        <v>87</v>
      </c>
      <c r="D12" s="44" t="s">
        <v>94</v>
      </c>
      <c r="E12" t="s">
        <v>67</v>
      </c>
    </row>
    <row r="13" spans="1:6" x14ac:dyDescent="0.25">
      <c r="A13" t="s">
        <v>77</v>
      </c>
      <c r="C13" t="s">
        <v>87</v>
      </c>
      <c r="D13" s="43" t="s">
        <v>95</v>
      </c>
      <c r="E13" t="s">
        <v>61</v>
      </c>
    </row>
    <row r="14" spans="1:6" x14ac:dyDescent="0.25">
      <c r="A14" t="s">
        <v>76</v>
      </c>
      <c r="C14" t="s">
        <v>87</v>
      </c>
      <c r="D14" s="43">
        <v>3</v>
      </c>
      <c r="E14" t="s">
        <v>77</v>
      </c>
    </row>
    <row r="15" spans="1:6" x14ac:dyDescent="0.25">
      <c r="A15" t="s">
        <v>74</v>
      </c>
      <c r="C15" t="s">
        <v>87</v>
      </c>
      <c r="D15" s="43">
        <v>1</v>
      </c>
      <c r="E15" t="s">
        <v>76</v>
      </c>
    </row>
    <row r="16" spans="1:6" x14ac:dyDescent="0.25">
      <c r="A16" s="34" t="s">
        <v>75</v>
      </c>
      <c r="B16" s="34"/>
      <c r="C16" s="34" t="s">
        <v>87</v>
      </c>
      <c r="D16" s="41">
        <v>1</v>
      </c>
      <c r="E16" t="s">
        <v>33</v>
      </c>
      <c r="F16" t="s">
        <v>64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3407-EE20-4026-B68E-D49BEFC3BCAB}">
  <sheetPr>
    <tabColor rgb="FF00B050"/>
  </sheetPr>
  <dimension ref="A1:B36"/>
  <sheetViews>
    <sheetView topLeftCell="A6" workbookViewId="0"/>
  </sheetViews>
  <sheetFormatPr defaultRowHeight="15" x14ac:dyDescent="0.25"/>
  <cols>
    <col min="1" max="1" width="14.28515625" bestFit="1" customWidth="1"/>
    <col min="2" max="3" width="22.28515625" bestFit="1" customWidth="1"/>
    <col min="4" max="4" width="21.5703125" bestFit="1" customWidth="1"/>
  </cols>
  <sheetData>
    <row r="1" spans="1:2" ht="15.75" thickBot="1" x14ac:dyDescent="0.3">
      <c r="A1" s="17" t="s">
        <v>43</v>
      </c>
      <c r="B1" s="18" t="s">
        <v>44</v>
      </c>
    </row>
    <row r="2" spans="1:2" x14ac:dyDescent="0.25">
      <c r="A2" s="68" t="s">
        <v>158</v>
      </c>
      <c r="B2" s="68" t="s">
        <v>155</v>
      </c>
    </row>
    <row r="3" spans="1:2" x14ac:dyDescent="0.25">
      <c r="A3" s="68" t="s">
        <v>159</v>
      </c>
      <c r="B3" s="68" t="s">
        <v>155</v>
      </c>
    </row>
    <row r="4" spans="1:2" x14ac:dyDescent="0.25">
      <c r="A4" s="68" t="s">
        <v>160</v>
      </c>
      <c r="B4" s="68" t="s">
        <v>155</v>
      </c>
    </row>
    <row r="5" spans="1:2" x14ac:dyDescent="0.25">
      <c r="A5" s="68" t="s">
        <v>161</v>
      </c>
      <c r="B5" s="68" t="s">
        <v>155</v>
      </c>
    </row>
    <row r="6" spans="1:2" x14ac:dyDescent="0.25">
      <c r="A6" s="69" t="s">
        <v>55</v>
      </c>
      <c r="B6" s="69" t="s">
        <v>57</v>
      </c>
    </row>
    <row r="7" spans="1:2" x14ac:dyDescent="0.25">
      <c r="A7" s="69" t="s">
        <v>56</v>
      </c>
      <c r="B7" s="69" t="s">
        <v>57</v>
      </c>
    </row>
    <row r="8" spans="1:2" x14ac:dyDescent="0.25">
      <c r="A8" s="68" t="s">
        <v>176</v>
      </c>
      <c r="B8" s="68" t="s">
        <v>175</v>
      </c>
    </row>
    <row r="9" spans="1:2" x14ac:dyDescent="0.25">
      <c r="A9" s="68" t="s">
        <v>177</v>
      </c>
      <c r="B9" s="68" t="s">
        <v>175</v>
      </c>
    </row>
    <row r="10" spans="1:2" x14ac:dyDescent="0.25">
      <c r="A10" s="68" t="s">
        <v>178</v>
      </c>
      <c r="B10" s="68" t="s">
        <v>175</v>
      </c>
    </row>
    <row r="11" spans="1:2" x14ac:dyDescent="0.25">
      <c r="A11" s="69" t="s">
        <v>180</v>
      </c>
      <c r="B11" s="69" t="s">
        <v>179</v>
      </c>
    </row>
    <row r="12" spans="1:2" x14ac:dyDescent="0.25">
      <c r="A12" s="69" t="s">
        <v>181</v>
      </c>
      <c r="B12" s="69" t="s">
        <v>179</v>
      </c>
    </row>
    <row r="13" spans="1:2" x14ac:dyDescent="0.25">
      <c r="A13" s="68" t="s">
        <v>162</v>
      </c>
      <c r="B13" s="68" t="s">
        <v>157</v>
      </c>
    </row>
    <row r="14" spans="1:2" x14ac:dyDescent="0.25">
      <c r="A14" s="68" t="s">
        <v>169</v>
      </c>
      <c r="B14" s="68" t="s">
        <v>157</v>
      </c>
    </row>
    <row r="15" spans="1:2" x14ac:dyDescent="0.25">
      <c r="A15" s="68" t="s">
        <v>163</v>
      </c>
      <c r="B15" s="68" t="s">
        <v>157</v>
      </c>
    </row>
    <row r="16" spans="1:2" x14ac:dyDescent="0.25">
      <c r="A16" s="69" t="s">
        <v>164</v>
      </c>
      <c r="B16" s="69" t="s">
        <v>156</v>
      </c>
    </row>
    <row r="17" spans="1:2" x14ac:dyDescent="0.25">
      <c r="A17" s="69" t="s">
        <v>182</v>
      </c>
      <c r="B17" s="69" t="s">
        <v>156</v>
      </c>
    </row>
    <row r="18" spans="1:2" x14ac:dyDescent="0.25">
      <c r="A18" s="69" t="s">
        <v>165</v>
      </c>
      <c r="B18" s="69" t="s">
        <v>156</v>
      </c>
    </row>
    <row r="19" spans="1:2" x14ac:dyDescent="0.25">
      <c r="A19" s="69" t="s">
        <v>166</v>
      </c>
      <c r="B19" s="69" t="s">
        <v>156</v>
      </c>
    </row>
    <row r="20" spans="1:2" x14ac:dyDescent="0.25">
      <c r="A20" s="68" t="s">
        <v>45</v>
      </c>
      <c r="B20" s="68" t="s">
        <v>51</v>
      </c>
    </row>
    <row r="21" spans="1:2" x14ac:dyDescent="0.25">
      <c r="A21" s="68" t="s">
        <v>183</v>
      </c>
      <c r="B21" s="68" t="s">
        <v>51</v>
      </c>
    </row>
    <row r="22" spans="1:2" x14ac:dyDescent="0.25">
      <c r="A22" s="68" t="s">
        <v>46</v>
      </c>
      <c r="B22" s="68" t="s">
        <v>51</v>
      </c>
    </row>
    <row r="23" spans="1:2" x14ac:dyDescent="0.25">
      <c r="A23" s="68" t="s">
        <v>47</v>
      </c>
      <c r="B23" s="68" t="s">
        <v>51</v>
      </c>
    </row>
    <row r="24" spans="1:2" x14ac:dyDescent="0.25">
      <c r="A24" s="68" t="s">
        <v>167</v>
      </c>
      <c r="B24" s="68" t="s">
        <v>51</v>
      </c>
    </row>
    <row r="25" spans="1:2" x14ac:dyDescent="0.25">
      <c r="A25" s="69" t="s">
        <v>48</v>
      </c>
      <c r="B25" s="69" t="s">
        <v>52</v>
      </c>
    </row>
    <row r="26" spans="1:2" x14ac:dyDescent="0.25">
      <c r="A26" s="69" t="s">
        <v>49</v>
      </c>
      <c r="B26" s="69" t="s">
        <v>52</v>
      </c>
    </row>
    <row r="27" spans="1:2" x14ac:dyDescent="0.25">
      <c r="A27" s="69" t="s">
        <v>50</v>
      </c>
      <c r="B27" s="69" t="s">
        <v>52</v>
      </c>
    </row>
    <row r="28" spans="1:2" x14ac:dyDescent="0.25">
      <c r="A28" s="69" t="s">
        <v>168</v>
      </c>
      <c r="B28" s="69" t="s">
        <v>52</v>
      </c>
    </row>
    <row r="29" spans="1:2" x14ac:dyDescent="0.25">
      <c r="A29" s="68" t="s">
        <v>185</v>
      </c>
      <c r="B29" s="68" t="s">
        <v>184</v>
      </c>
    </row>
    <row r="30" spans="1:2" x14ac:dyDescent="0.25">
      <c r="A30" s="68" t="s">
        <v>186</v>
      </c>
      <c r="B30" s="68" t="s">
        <v>184</v>
      </c>
    </row>
    <row r="31" spans="1:2" x14ac:dyDescent="0.25">
      <c r="A31" s="68" t="s">
        <v>187</v>
      </c>
      <c r="B31" s="68" t="s">
        <v>184</v>
      </c>
    </row>
    <row r="32" spans="1:2" x14ac:dyDescent="0.25">
      <c r="A32" s="69" t="s">
        <v>189</v>
      </c>
      <c r="B32" s="69" t="s">
        <v>188</v>
      </c>
    </row>
    <row r="33" spans="1:2" x14ac:dyDescent="0.25">
      <c r="A33" s="69" t="s">
        <v>190</v>
      </c>
      <c r="B33" s="69" t="s">
        <v>188</v>
      </c>
    </row>
    <row r="34" spans="1:2" x14ac:dyDescent="0.25">
      <c r="A34" s="69" t="s">
        <v>191</v>
      </c>
      <c r="B34" s="69" t="s">
        <v>188</v>
      </c>
    </row>
    <row r="35" spans="1:2" x14ac:dyDescent="0.25">
      <c r="A35" s="68" t="s">
        <v>193</v>
      </c>
      <c r="B35" s="68" t="s">
        <v>192</v>
      </c>
    </row>
    <row r="36" spans="1:2" x14ac:dyDescent="0.25">
      <c r="A36" s="68" t="s">
        <v>194</v>
      </c>
      <c r="B36" s="68" t="s">
        <v>192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FB0E003A88C4B9D9793633BA4B356" ma:contentTypeVersion="12" ma:contentTypeDescription="Create a new document." ma:contentTypeScope="" ma:versionID="47be61afb57dbdcdac73424092eefa1c">
  <xsd:schema xmlns:xsd="http://www.w3.org/2001/XMLSchema" xmlns:xs="http://www.w3.org/2001/XMLSchema" xmlns:p="http://schemas.microsoft.com/office/2006/metadata/properties" xmlns:ns2="0d55314f-45f1-40c9-9fce-63556e193d03" targetNamespace="http://schemas.microsoft.com/office/2006/metadata/properties" ma:root="true" ma:fieldsID="2e59f5c7e704c6a619606efe0cdd9ac5" ns2:_="">
    <xsd:import namespace="0d55314f-45f1-40c9-9fce-63556e193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314f-45f1-40c9-9fce-63556e193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55314f-45f1-40c9-9fce-63556e193d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DB4E45-9540-4F73-BB3C-AF833098C6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A60399-BAA7-4FCF-8888-18E09CD7F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55314f-45f1-40c9-9fce-63556e193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7BB656-2721-4BD0-8785-0BA8A3850935}">
  <ds:schemaRefs>
    <ds:schemaRef ds:uri="http://schemas.microsoft.com/office/2006/metadata/properties"/>
    <ds:schemaRef ds:uri="http://schemas.microsoft.com/office/infopath/2007/PartnerControls"/>
    <ds:schemaRef ds:uri="a1fcbaaf-06d9-47c4-b3a2-beefbc45d784"/>
    <ds:schemaRef ds:uri="0d55314f-45f1-40c9-9fce-63556e193d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Indications</vt:lpstr>
      <vt:lpstr>Sequences</vt:lpstr>
      <vt:lpstr>Outcomes</vt:lpstr>
      <vt:lpstr>Qs_and_Notes</vt:lpstr>
      <vt:lpstr>Command_Desc</vt:lpstr>
      <vt:lpstr>Set_Matching_4_Param_Mult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2025-10-28T22:32:04Z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0x010100F74FB0E003A88C4B9D9793633BA4B356</vt:lpwstr>
  </property>
</Properties>
</file>