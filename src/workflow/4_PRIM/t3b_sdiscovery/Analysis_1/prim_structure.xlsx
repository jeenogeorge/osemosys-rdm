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ClimateLeadGroup\Desktop\CLG_repositories\AFR_RDM\src\workflow\4_PRIM\t3b_sdiscovery\Analysis_1\"/>
    </mc:Choice>
  </mc:AlternateContent>
  <xr:revisionPtr revIDLastSave="0" documentId="13_ncr:1_{1C2D7B5E-072F-40C1-ADDF-E3641E4F6D97}" xr6:coauthVersionLast="47" xr6:coauthVersionMax="47" xr10:uidLastSave="{00000000-0000-0000-0000-000000000000}"/>
  <bookViews>
    <workbookView xWindow="-120" yWindow="-120" windowWidth="29040" windowHeight="15720" tabRatio="813" activeTab="1" xr2:uid="{00000000-000D-0000-FFFF-FFFF00000000}"/>
  </bookViews>
  <sheets>
    <sheet name="Indications" sheetId="2" r:id="rId1"/>
    <sheet name="Sequences" sheetId="9" r:id="rId2"/>
    <sheet name="Outcomes" sheetId="8" r:id="rId3"/>
    <sheet name="Qs_and_Notes" sheetId="3" r:id="rId4"/>
    <sheet name="Command_Desc" sheetId="4" r:id="rId5"/>
    <sheet name="Set_Matching_4_Param_Mult" sheetId="7" r:id="rId6"/>
  </sheets>
  <definedNames>
    <definedName name="_xlnm._FilterDatabase" localSheetId="2" hidden="1">Outcomes!$A$1:$X$2</definedName>
    <definedName name="_xlnm._FilterDatabase" localSheetId="1" hidden="1">Sequences!$A$1:$BA$10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3" i="9" l="1"/>
  <c r="C13" i="9"/>
  <c r="A14" i="9"/>
  <c r="C14" i="9"/>
  <c r="C15" i="9"/>
  <c r="A16" i="9"/>
  <c r="C16" i="9" s="1"/>
  <c r="C17" i="9"/>
  <c r="A18" i="9"/>
  <c r="C18" i="9" s="1"/>
  <c r="C19" i="9"/>
  <c r="A20" i="9"/>
  <c r="C20" i="9" s="1"/>
  <c r="C21" i="9"/>
  <c r="G14" i="9"/>
  <c r="G15" i="9" s="1"/>
  <c r="G16" i="9" s="1"/>
  <c r="G17" i="9" s="1"/>
  <c r="G18" i="9" s="1"/>
  <c r="G19" i="9" s="1"/>
  <c r="G20" i="9" s="1"/>
  <c r="A12" i="9"/>
  <c r="C12" i="9" s="1"/>
  <c r="C11" i="9"/>
  <c r="A3" i="8"/>
  <c r="C7" i="9" l="1"/>
  <c r="B7" i="9" s="1"/>
  <c r="C8" i="9"/>
  <c r="B8" i="9" s="1"/>
  <c r="C9" i="9"/>
  <c r="B9" i="9" s="1"/>
  <c r="C10" i="9"/>
  <c r="B10" i="9" s="1"/>
  <c r="C5" i="9"/>
  <c r="B5" i="9" s="1"/>
  <c r="C6" i="9"/>
  <c r="B6" i="9" s="1"/>
  <c r="G2" i="9" l="1"/>
  <c r="G3" i="9" s="1"/>
  <c r="G4" i="9" s="1"/>
  <c r="C4" i="9"/>
  <c r="B4" i="9" s="1"/>
  <c r="A3" i="9"/>
  <c r="C3" i="9" s="1"/>
  <c r="A2" i="9"/>
  <c r="C2" i="9" s="1"/>
  <c r="B2" i="9" s="1"/>
  <c r="G5" i="9" l="1"/>
  <c r="G6" i="9" s="1"/>
  <c r="G7" i="9" s="1"/>
  <c r="G8" i="9" s="1"/>
  <c r="G9" i="9" s="1"/>
  <c r="G10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luisf</author>
    <author>Ignacio  Alfaro Corrales</author>
  </authors>
  <commentList>
    <comment ref="A1" authorId="0" shapeId="0" xr:uid="{8C0A68C5-9A5B-4EE6-8527-B746AA447698}">
      <text>
        <r>
          <rPr>
            <b/>
            <sz val="9"/>
            <color indexed="81"/>
            <rFont val="Tahoma"/>
            <family val="2"/>
          </rPr>
          <t>Provides an order to follow</t>
        </r>
      </text>
    </comment>
    <comment ref="B1" authorId="0" shapeId="0" xr:uid="{71C828CE-8AD0-4024-A728-62AF44DB0A17}">
      <text>
        <r>
          <rPr>
            <b/>
            <sz val="9"/>
            <color indexed="81"/>
            <rFont val="Tahoma"/>
            <family val="2"/>
          </rPr>
          <t>Level 1: drivers to a direct outcome of interest
Level 2 and higher: drivers to intermediary variables</t>
        </r>
      </text>
    </comment>
    <comment ref="AC1" authorId="0" shapeId="0" xr:uid="{9F9BF353-0FDF-4498-9E99-305293C5952F}">
      <text>
        <r>
          <rPr>
            <b/>
            <u/>
            <sz val="9"/>
            <color indexed="81"/>
            <rFont val="Tahoma"/>
            <family val="2"/>
          </rPr>
          <t>Direct:</t>
        </r>
        <r>
          <rPr>
            <b/>
            <sz val="9"/>
            <color indexed="81"/>
            <rFont val="Tahoma"/>
            <family val="2"/>
          </rPr>
          <t xml:space="preserve"> the value from the scenario databases
</t>
        </r>
        <r>
          <rPr>
            <b/>
            <u/>
            <sz val="9"/>
            <color indexed="81"/>
            <rFont val="Tahoma"/>
            <family val="2"/>
          </rPr>
          <t>wrt_BAU_excess:</t>
        </r>
        <r>
          <rPr>
            <b/>
            <sz val="9"/>
            <color indexed="81"/>
            <rFont val="Tahoma"/>
            <family val="2"/>
          </rPr>
          <t xml:space="preserve"> NDP difference with respect to the BAU. 
When using both, test the varialbe giving the highest density/coverage.
If </t>
        </r>
        <r>
          <rPr>
            <b/>
            <u/>
            <sz val="9"/>
            <color indexed="81"/>
            <rFont val="Tahoma"/>
            <family val="2"/>
          </rPr>
          <t>wrt_BAU_excess</t>
        </r>
        <r>
          <rPr>
            <b/>
            <sz val="9"/>
            <color indexed="81"/>
            <rFont val="Tahoma"/>
            <family val="2"/>
          </rPr>
          <t xml:space="preserve"> prevails, try to find the equivalent in </t>
        </r>
        <r>
          <rPr>
            <b/>
            <u/>
            <sz val="9"/>
            <color indexed="81"/>
            <rFont val="Tahoma"/>
            <family val="2"/>
          </rPr>
          <t xml:space="preserve">Direct </t>
        </r>
        <r>
          <rPr>
            <b/>
            <sz val="9"/>
            <color indexed="81"/>
            <rFont val="Tahoma"/>
            <family val="2"/>
          </rPr>
          <t>terms.</t>
        </r>
      </text>
    </comment>
    <comment ref="AI1" authorId="0" shapeId="0" xr:uid="{4D70A602-6EA6-4B84-9498-DB2A31DBB61A}">
      <text>
        <r>
          <rPr>
            <b/>
            <u/>
            <sz val="9"/>
            <color indexed="81"/>
            <rFont val="Tahoma"/>
            <family val="2"/>
          </rPr>
          <t>FRE</t>
        </r>
        <r>
          <rPr>
            <b/>
            <sz val="9"/>
            <color indexed="81"/>
            <rFont val="Tahoma"/>
            <family val="2"/>
          </rPr>
          <t xml:space="preserve">: freight companies (light and heavy)
</t>
        </r>
        <r>
          <rPr>
            <b/>
            <u/>
            <sz val="9"/>
            <color indexed="81"/>
            <rFont val="Tahoma"/>
            <family val="2"/>
          </rPr>
          <t>PRI</t>
        </r>
        <r>
          <rPr>
            <b/>
            <sz val="9"/>
            <color indexed="81"/>
            <rFont val="Tahoma"/>
            <family val="2"/>
          </rPr>
          <t xml:space="preserve">: private transport companies
</t>
        </r>
        <r>
          <rPr>
            <b/>
            <u/>
            <sz val="9"/>
            <color indexed="81"/>
            <rFont val="Tahoma"/>
            <family val="2"/>
          </rPr>
          <t>PUB</t>
        </r>
        <r>
          <rPr>
            <b/>
            <sz val="9"/>
            <color indexed="81"/>
            <rFont val="Tahoma"/>
            <family val="2"/>
          </rPr>
          <t xml:space="preserve">: public transport operators
</t>
        </r>
        <r>
          <rPr>
            <b/>
            <u/>
            <sz val="9"/>
            <color indexed="81"/>
            <rFont val="Tahoma"/>
            <family val="2"/>
          </rPr>
          <t>NT</t>
        </r>
        <r>
          <rPr>
            <b/>
            <sz val="9"/>
            <color indexed="81"/>
            <rFont val="Tahoma"/>
            <family val="2"/>
          </rPr>
          <t>: non-transport</t>
        </r>
      </text>
    </comment>
    <comment ref="AN1" authorId="0" shapeId="0" xr:uid="{19F678ED-F93A-4609-B5BE-08942F6B8285}">
      <text>
        <r>
          <rPr>
            <b/>
            <sz val="9"/>
            <color indexed="81"/>
            <rFont val="Tahoma"/>
            <family val="2"/>
          </rPr>
          <t>Necessary when we multiply 2 parameters with different sets</t>
        </r>
      </text>
    </comment>
    <comment ref="AO1" authorId="0" shapeId="0" xr:uid="{1DB13CE8-5399-4F72-85FC-C2A704ED5A3C}">
      <text>
        <r>
          <rPr>
            <b/>
            <u/>
            <sz val="9"/>
            <color indexed="81"/>
            <rFont val="Tahoma"/>
            <family val="2"/>
          </rPr>
          <t>Multiplication rule 1:</t>
        </r>
        <r>
          <rPr>
            <b/>
            <sz val="9"/>
            <color indexed="81"/>
            <rFont val="Tahoma"/>
            <family val="2"/>
          </rPr>
          <t xml:space="preserve">
The Involved_Sets affect the 1st parameters in a multiplication //
The Supporting_Sets affect the 2nd parameter in a multiplication</t>
        </r>
      </text>
    </comment>
    <comment ref="BA1" authorId="0" shapeId="0" xr:uid="{83EB36BE-E6AA-4515-A3DB-BF25E18BBFC9}">
      <text>
        <r>
          <rPr>
            <b/>
            <u/>
            <sz val="9"/>
            <color indexed="81"/>
            <rFont val="Tahoma"/>
            <family val="2"/>
          </rPr>
          <t>Direct:</t>
        </r>
        <r>
          <rPr>
            <b/>
            <sz val="9"/>
            <color indexed="81"/>
            <rFont val="Tahoma"/>
            <family val="2"/>
          </rPr>
          <t xml:space="preserve"> the value from the scenario databases
</t>
        </r>
        <r>
          <rPr>
            <b/>
            <u/>
            <sz val="9"/>
            <color indexed="81"/>
            <rFont val="Tahoma"/>
            <family val="2"/>
          </rPr>
          <t>wrt_BAU_excess:</t>
        </r>
        <r>
          <rPr>
            <b/>
            <sz val="9"/>
            <color indexed="81"/>
            <rFont val="Tahoma"/>
            <family val="2"/>
          </rPr>
          <t xml:space="preserve"> NDP difference with respect to the BAU. 
When using both, test the varialbe giving the highest density/coverage.
If </t>
        </r>
        <r>
          <rPr>
            <b/>
            <u/>
            <sz val="9"/>
            <color indexed="81"/>
            <rFont val="Tahoma"/>
            <family val="2"/>
          </rPr>
          <t>wrt_BAU_excess</t>
        </r>
        <r>
          <rPr>
            <b/>
            <sz val="9"/>
            <color indexed="81"/>
            <rFont val="Tahoma"/>
            <family val="2"/>
          </rPr>
          <t xml:space="preserve"> prevails, try to find the equivalent in </t>
        </r>
        <r>
          <rPr>
            <b/>
            <u/>
            <sz val="9"/>
            <color indexed="81"/>
            <rFont val="Tahoma"/>
            <family val="2"/>
          </rPr>
          <t xml:space="preserve">Direct </t>
        </r>
        <r>
          <rPr>
            <b/>
            <sz val="9"/>
            <color indexed="81"/>
            <rFont val="Tahoma"/>
            <family val="2"/>
          </rPr>
          <t>terms.</t>
        </r>
      </text>
    </comment>
    <comment ref="O6" authorId="1" shapeId="0" xr:uid="{3B999532-7B09-43E6-8E36-EDB3C33285C2}">
      <text>
        <r>
          <rPr>
            <b/>
            <sz val="9"/>
            <color indexed="81"/>
            <rFont val="Tahoma"/>
            <family val="2"/>
          </rPr>
          <t>Solo solar y viento verdad?</t>
        </r>
      </text>
    </comment>
    <comment ref="O16" authorId="1" shapeId="0" xr:uid="{B13C6DA2-C362-42F3-B5F5-FD9E8D55C8AA}">
      <text>
        <r>
          <rPr>
            <b/>
            <sz val="9"/>
            <color indexed="81"/>
            <rFont val="Tahoma"/>
            <family val="2"/>
          </rPr>
          <t>Solo solar y viento verdad?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luisf</author>
  </authors>
  <commentList>
    <comment ref="K1" authorId="0" shapeId="0" xr:uid="{27EAA9DD-0570-4E65-9511-6C4D14767E7A}">
      <text>
        <r>
          <rPr>
            <b/>
            <sz val="9"/>
            <color indexed="81"/>
            <rFont val="Tahoma"/>
            <family val="2"/>
          </rPr>
          <t>Necessary when we multiply 2 parameters with different sets</t>
        </r>
      </text>
    </comment>
    <comment ref="L1" authorId="0" shapeId="0" xr:uid="{F0550462-6B4E-4512-9560-30407637CEBA}">
      <text>
        <r>
          <rPr>
            <b/>
            <u/>
            <sz val="9"/>
            <color indexed="81"/>
            <rFont val="Tahoma"/>
            <family val="2"/>
          </rPr>
          <t>Multiplication rule 1:</t>
        </r>
        <r>
          <rPr>
            <b/>
            <sz val="9"/>
            <color indexed="81"/>
            <rFont val="Tahoma"/>
            <family val="2"/>
          </rPr>
          <t xml:space="preserve">
The Involved_Sets affect the 1st parameters in a multiplication //
The Supporting_Sets affect the 2nd parameter in a multiplication</t>
        </r>
      </text>
    </comment>
    <comment ref="X1" authorId="0" shapeId="0" xr:uid="{87316334-AC2D-4DC6-8638-43A978DE5620}">
      <text>
        <r>
          <rPr>
            <b/>
            <u/>
            <sz val="9"/>
            <color indexed="81"/>
            <rFont val="Tahoma"/>
            <family val="2"/>
          </rPr>
          <t>Direct:</t>
        </r>
        <r>
          <rPr>
            <b/>
            <sz val="9"/>
            <color indexed="81"/>
            <rFont val="Tahoma"/>
            <family val="2"/>
          </rPr>
          <t xml:space="preserve"> the value from the scenario databases
</t>
        </r>
        <r>
          <rPr>
            <b/>
            <u/>
            <sz val="9"/>
            <color indexed="81"/>
            <rFont val="Tahoma"/>
            <family val="2"/>
          </rPr>
          <t>wrt_BAU_excess:</t>
        </r>
        <r>
          <rPr>
            <b/>
            <sz val="9"/>
            <color indexed="81"/>
            <rFont val="Tahoma"/>
            <family val="2"/>
          </rPr>
          <t xml:space="preserve"> NDP difference with respect to the BAU. 
When using both, test the varialbe giving the highest density/coverage.
If </t>
        </r>
        <r>
          <rPr>
            <b/>
            <u/>
            <sz val="9"/>
            <color indexed="81"/>
            <rFont val="Tahoma"/>
            <family val="2"/>
          </rPr>
          <t>wrt_BAU_excess</t>
        </r>
        <r>
          <rPr>
            <b/>
            <sz val="9"/>
            <color indexed="81"/>
            <rFont val="Tahoma"/>
            <family val="2"/>
          </rPr>
          <t xml:space="preserve"> prevails, try to find the equivalent in </t>
        </r>
        <r>
          <rPr>
            <b/>
            <u/>
            <sz val="9"/>
            <color indexed="81"/>
            <rFont val="Tahoma"/>
            <family val="2"/>
          </rPr>
          <t xml:space="preserve">Direct </t>
        </r>
        <r>
          <rPr>
            <b/>
            <sz val="9"/>
            <color indexed="81"/>
            <rFont val="Tahoma"/>
            <family val="2"/>
          </rPr>
          <t>terms.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luisf</author>
  </authors>
  <commentList>
    <comment ref="B4" authorId="0" shapeId="0" xr:uid="{C0A9ABEA-4CB6-4174-B4F1-84F137278E5C}">
      <text>
        <r>
          <rPr>
            <b/>
            <sz val="9"/>
            <color indexed="81"/>
            <rFont val="Tahoma"/>
            <family val="2"/>
          </rPr>
          <t>Other 'Column_Management' options only require one formula</t>
        </r>
      </text>
    </comment>
  </commentList>
</comments>
</file>

<file path=xl/sharedStrings.xml><?xml version="1.0" encoding="utf-8"?>
<sst xmlns="http://schemas.openxmlformats.org/spreadsheetml/2006/main" count="850" uniqueCount="206">
  <si>
    <t>This file controls the compartmentalized approach to execute the PRIM analysis.</t>
  </si>
  <si>
    <t>We use the RES_by_actor_Gig.pptx Figures to define the different analysis sections.</t>
  </si>
  <si>
    <t>We then match the analysis sections with the model's outputs.</t>
  </si>
  <si>
    <t>Steps:</t>
  </si>
  <si>
    <t>Sequences</t>
  </si>
  <si>
    <t>Sheets:</t>
  </si>
  <si>
    <t>Groups of input parameters organized in sequence to apply the PRIM</t>
  </si>
  <si>
    <t>Level</t>
  </si>
  <si>
    <t>Outcome</t>
  </si>
  <si>
    <t>Driver</t>
  </si>
  <si>
    <t>Driver_Type</t>
  </si>
  <si>
    <t>Country</t>
  </si>
  <si>
    <t>none</t>
  </si>
  <si>
    <t>Driver_Actor</t>
  </si>
  <si>
    <t>Outcome_Actor</t>
  </si>
  <si>
    <t>Direct</t>
  </si>
  <si>
    <t>Qs</t>
  </si>
  <si>
    <t>Notes</t>
  </si>
  <si>
    <t>Energy intensities should be accounted to the consumption value closest to the end-user.</t>
  </si>
  <si>
    <t>Define the sequence of uncertainties and intermediary variables as per RES_by_actor_Fig.pptx // The resulting organization should be applied to quinquenniums and to the average period horizon</t>
  </si>
  <si>
    <t>When producing the Compiled_Vulnerability files, make sure to separate it into multiple files according to period to avoid difficulties.</t>
  </si>
  <si>
    <t>Apply</t>
  </si>
  <si>
    <t>YES</t>
  </si>
  <si>
    <t>Driver_Involved_Scenarios</t>
  </si>
  <si>
    <t>Driver_Source</t>
  </si>
  <si>
    <t>Outcome_Source</t>
  </si>
  <si>
    <t>Outcome_Involved_Scenarios</t>
  </si>
  <si>
    <t>Tech</t>
  </si>
  <si>
    <t>Driver_Formula_Numerator</t>
  </si>
  <si>
    <t>all</t>
  </si>
  <si>
    <t>sum_across</t>
  </si>
  <si>
    <t>Driver_Formula_Denominator</t>
  </si>
  <si>
    <t>direct</t>
  </si>
  <si>
    <t>column_per_param</t>
  </si>
  <si>
    <t>Describing the commands used in the "Sequences" sheet</t>
  </si>
  <si>
    <t>Description</t>
  </si>
  <si>
    <t>Include columns for each fuel included in the sets</t>
  </si>
  <si>
    <t>Include columns for each type included in the sets</t>
  </si>
  <si>
    <t>#_of_columns_to_add</t>
  </si>
  <si>
    <t>Column_Management</t>
  </si>
  <si>
    <t>Involved_Set</t>
  </si>
  <si>
    <t>Supporting_Sets</t>
  </si>
  <si>
    <t>TRYTKDSL</t>
  </si>
  <si>
    <t>TRYTKELE</t>
  </si>
  <si>
    <t>TRYTKHYD</t>
  </si>
  <si>
    <t>TRYLFDSL</t>
  </si>
  <si>
    <t>TRYLFGSL</t>
  </si>
  <si>
    <t>TRYLFELE</t>
  </si>
  <si>
    <t>Techs_He_Freight</t>
  </si>
  <si>
    <t>Techs_Li_Freight</t>
  </si>
  <si>
    <t>group_fossil_elec_H2</t>
  </si>
  <si>
    <t>Include columns for each listed param: REQUIRES AN OPERATION PER PARAM</t>
  </si>
  <si>
    <t>TRMOTGSL</t>
  </si>
  <si>
    <t>TRMOTELE</t>
  </si>
  <si>
    <t>Techs_Motos</t>
  </si>
  <si>
    <t>group_by_use</t>
  </si>
  <si>
    <t>Include a column where all of the sets are used simultaneously</t>
  </si>
  <si>
    <t>Include columns for each use included in the sets</t>
  </si>
  <si>
    <t>special_Biofuel</t>
  </si>
  <si>
    <t>The number of columns are related to the amount of information provided for the "Biofuel Blend" uncertainty</t>
  </si>
  <si>
    <t>Formula (Numerator or Denominator)</t>
  </si>
  <si>
    <t>Sums all sets and params in their respective positions</t>
  </si>
  <si>
    <t>column_per_set</t>
  </si>
  <si>
    <t>direct_rel2018</t>
  </si>
  <si>
    <t>share_electric_of_total</t>
  </si>
  <si>
    <t>share_H2_of_total</t>
  </si>
  <si>
    <t>Grab the values after applying the formula, and average the results</t>
  </si>
  <si>
    <t>Driver_Variable_Management</t>
  </si>
  <si>
    <t>Outcome_Variable_Management</t>
  </si>
  <si>
    <t>average_across</t>
  </si>
  <si>
    <t>average_across_rel2018</t>
  </si>
  <si>
    <t>Str_Both_4 and 5 : Energy</t>
  </si>
  <si>
    <t>Str_Only_4 : Transport</t>
  </si>
  <si>
    <t>special_mode_shift</t>
  </si>
  <si>
    <t>special_PT_dist</t>
  </si>
  <si>
    <t>group_by_fuel</t>
  </si>
  <si>
    <t>group_by_type</t>
  </si>
  <si>
    <t>group_by_type_and_LowHighEmissions</t>
  </si>
  <si>
    <t>multiply_sum_across</t>
  </si>
  <si>
    <t>Include columns for each type and low/high emissions regarding the sets</t>
  </si>
  <si>
    <t>Include 3 columns: 1 for fossil, 1 for electric, 1 for H2 -related sets</t>
  </si>
  <si>
    <t>Include columns for each listed set: usually linked to the "direct" formula</t>
  </si>
  <si>
    <t>What it impacts</t>
  </si>
  <si>
    <t>Parameters</t>
  </si>
  <si>
    <t>Sets</t>
  </si>
  <si>
    <t># of params (multiplies the columns caused by sets)</t>
  </si>
  <si>
    <t># of sets</t>
  </si>
  <si>
    <t># of fuels in the sets</t>
  </si>
  <si>
    <t># of types in the sets</t>
  </si>
  <si>
    <t># of types in the sets * 2 (low or high emissions)</t>
  </si>
  <si>
    <t># of uses in the sets</t>
  </si>
  <si>
    <t>2 (ethanol and biodiesel)</t>
  </si>
  <si>
    <t>3 (microbus, minibus, taxi)</t>
  </si>
  <si>
    <t>GDP_growth</t>
  </si>
  <si>
    <t>Den_GDP</t>
  </si>
  <si>
    <t>Driver_Involved_Sets</t>
  </si>
  <si>
    <t>Driver_Supporting_Sets</t>
  </si>
  <si>
    <t>Driver_Exact_Parameters_Involved</t>
  </si>
  <si>
    <t>Driver_Tech_or_Fuel_or_Actor</t>
  </si>
  <si>
    <t>Driver_Column_Management</t>
  </si>
  <si>
    <t>Driver_Numerator_Sum_Sets</t>
  </si>
  <si>
    <t>Driver_Numerator_Sub_Sets</t>
  </si>
  <si>
    <t>Driver_Denominator_Sum_Sets</t>
  </si>
  <si>
    <t>Driver_Denominator_Sub_Sets</t>
  </si>
  <si>
    <t>Driver_Numerator_Sum_Params</t>
  </si>
  <si>
    <t>Driver_Numerator_Sub_Params</t>
  </si>
  <si>
    <t>Driver_Denominator_Sum_Params</t>
  </si>
  <si>
    <t>Driver_Denominator_Sub_Params</t>
  </si>
  <si>
    <t>Outcome_Formula_Numerator</t>
  </si>
  <si>
    <t>Outcome_Formula_Denominator</t>
  </si>
  <si>
    <t>Outcome_Involved_Sets</t>
  </si>
  <si>
    <t>Outcome_Supporting_Sets</t>
  </si>
  <si>
    <t>Outcome_Exact_Parameters_Involved</t>
  </si>
  <si>
    <t>Outcome_Tech_or_Fuel_or_Actor</t>
  </si>
  <si>
    <t>Outcome_Column_Management</t>
  </si>
  <si>
    <t>Outcome_Numerator_Sum_Sets</t>
  </si>
  <si>
    <t>Outcome_Numerator_Sub_Sets</t>
  </si>
  <si>
    <t>Outcome_Denominator_Sum_Sets</t>
  </si>
  <si>
    <t>Outcome_Denominator_Sub_Sets</t>
  </si>
  <si>
    <t>Outcome_Numerator_Sum_Params</t>
  </si>
  <si>
    <t>Outcome_Numerator_Sub_Params</t>
  </si>
  <si>
    <t>Outcome_Denominator_Sum_Params</t>
  </si>
  <si>
    <t>Outcome_Denominator_Sub_Params</t>
  </si>
  <si>
    <t>Table_ID</t>
  </si>
  <si>
    <t>Block_ID</t>
  </si>
  <si>
    <t>Driver_ID</t>
  </si>
  <si>
    <t>Driver_U_ID</t>
  </si>
  <si>
    <t>Outcome_ID_as_Driver</t>
  </si>
  <si>
    <t>Outcome_ID</t>
  </si>
  <si>
    <t>Outcome_Type</t>
  </si>
  <si>
    <t>Metric of interest</t>
  </si>
  <si>
    <t>Outcome_Threshold</t>
  </si>
  <si>
    <t>High ; Low</t>
  </si>
  <si>
    <t>Outcome_Formula_Last</t>
  </si>
  <si>
    <t>Driver_Formula_Last</t>
  </si>
  <si>
    <t>AVG</t>
  </si>
  <si>
    <t>END</t>
  </si>
  <si>
    <t>Fuel Demand</t>
  </si>
  <si>
    <t>Techs_Auto</t>
  </si>
  <si>
    <t>Techs_Buses_Pub</t>
  </si>
  <si>
    <t>Techs_Buses_Micro</t>
  </si>
  <si>
    <t>TRAUTDSL</t>
  </si>
  <si>
    <t>TRAUTGSL</t>
  </si>
  <si>
    <t>TRAUTELE</t>
  </si>
  <si>
    <t>TRAUTHG</t>
  </si>
  <si>
    <t>TRMBSDSL</t>
  </si>
  <si>
    <t>TRMBSELE</t>
  </si>
  <si>
    <t>TRBPUDSL</t>
  </si>
  <si>
    <t>TRBPUELE</t>
  </si>
  <si>
    <t>TRBPUHYD</t>
  </si>
  <si>
    <t>TRYTKHD</t>
  </si>
  <si>
    <t>TRYLFHD</t>
  </si>
  <si>
    <t>TRMBSGSL</t>
  </si>
  <si>
    <t>TotalTechnologyAnnualActivity</t>
  </si>
  <si>
    <t>Techs_SUV</t>
  </si>
  <si>
    <t>TRSUVDSL</t>
  </si>
  <si>
    <t>TRSUVGSL</t>
  </si>
  <si>
    <t>TRSUVELE</t>
  </si>
  <si>
    <t>Techs_Taxi</t>
  </si>
  <si>
    <t>TRTAXGSL</t>
  </si>
  <si>
    <t>TRTAXELE</t>
  </si>
  <si>
    <t>TRBPUGSL</t>
  </si>
  <si>
    <t>TRYTKFOI</t>
  </si>
  <si>
    <t>Techs_Maritime</t>
  </si>
  <si>
    <t>TRMARDSL</t>
  </si>
  <si>
    <t>TRMARFOI</t>
  </si>
  <si>
    <t>TRMARHYD</t>
  </si>
  <si>
    <t>Techs_Maritime_Freight</t>
  </si>
  <si>
    <t>TRMAMFREDSL</t>
  </si>
  <si>
    <t>TRMAMFREFOI</t>
  </si>
  <si>
    <t>TRMAMFREHYD</t>
  </si>
  <si>
    <t>Techs_Aviation</t>
  </si>
  <si>
    <t>TRAVKER</t>
  </si>
  <si>
    <t>TRAVHYD</t>
  </si>
  <si>
    <t>OSeMOSYS-UGA outputs</t>
  </si>
  <si>
    <t>Scenario1</t>
  </si>
  <si>
    <t>CapitalInvestment ; AnnualVariableOperatingCost ; AnnualFixedOperatingCost</t>
  </si>
  <si>
    <t>LNDCRPFAL ; LNDSORHR ; LNDSORHI ; LNDSORLR ; LNDSORLI ; LNDSESHR ; LNDSESHI ; LNDSESLR ; LNDSESLI ; LNDRICHR ; LNDRICHI ; LNDRICLR ; LNDRICLI ; LNDSOYHR ; LNDSOYHI ; LNDSOYLR ; LNDSOYLI ; LNDVEGHR ; LNDVEGHI ; LNDVEGLR ; LNDVEGLI ; LNDWET ; RSCLND ; LNDPLAHR ; LNDPLAHI ; LNDPLALR ; LNDPLALI ; LNDMAIHR ; LNDMAIHI ; LNDMAILR ; LNDMAILI ; LNDCASHR ; LNDCASHI ; LNDCASLR ; LNDCASLI ; LNDBEAHR ; LNDBEAHI ; LNDBEALR ; LNDBEALI ; LNDCOFHR ; LNDCOFHI ; LNDCOFLR ; LNDCOFLI ; LNDGROHR ; LNDGROHI ; LNDGROLR ; LNDGROLI ; LNDSUNHR ; LNDSUNHI ; LNDSUNLR ; LNDSUNLI ; LNDOTCHR ; LNDOTCHI ; LNDOTCLR ; LNDOTCLI ; LNDPTSHR ; LNDPTSHI ; LNDPTSLR ; LNDPTSLI ; LNDFOR ; LNDBLT ; LNDWAT ; OTHLND ; LNDCRP ; LNDGRA ; LNDSHR ; PWRBATIN ; PWRBATOUT ; PWRTRNIMP ; PWRDSL ; PWRWND002 ; PWRWND001 ; PWRNGS002 ; PWRNGS001 ; PWROHC002 ; PWRCOA001 ; PWRLFG001 ; PWRHYD001 ; PWRHYD002 ; PWRHYD003 ; PWRHYD004 ; PWRSOL001 ; PWRSOL002 ; PWRGEO001 ; PWRBIO001 ; PWRCSP001 ; PWRTRN ; TRAEVSCHG001 ; TRAEVSCHG002 ; TRAEVSCHG003 ; TRAGSLCARHYBCUR ; TRADSLPRL ; TRAELCPRL ; TRADSLFRL ; TRAELCFRL ; TRAGSLNAV ; TRAKERAVI ; TRAELCHTRCUR ; TRAELCMTRCUR ; TRAELCLTRCUR ; TRAELCBUSCUR ; TRALPGBUSNEW ; TRAELCMNBCUR ; TRALPGMNBNEW ; TRADSLMCYNEW ; TRAELCMCYCUR ; TRAELCCARCUR ; TRALPGCARNEW ; TRAGSLLTRCUR ; TRADSLLTRCUR ; TRAGSLLTRNEW ; TRADSLLTRNEW ; TRADSHLTRNEW ; TRADSLMTRCUR ; TRADSLMTRNEW ; TRAELCMTRNEW ; TRADSLHTRCUR ; TRADSLHTRNEW ; TRAELCHTRNEW ; WSTLFL ; WSTINC ; WSTHZD ; WSTGLS ; WSTPLR ; WSTPAR ; WSTMTR ; WSTCMP ; WSTDGS ; WSTSEP ; WSTORG ; WSTUNS ; WSTCOL ; WSTDMP ; WSTOPB ; WSTGEN ; INDOTHELCHTH ; INDOTHDSLHTH ; INDOTHNGSHTH ; INDOTHBIOHTH ; INDOTHCOAHTH ; INDOTHHDGHTH ; INDOTHGSLMDR ; INDOTHDSLMDR ; INDOTHELCMDR ; INDOTHPLT ; INDMTRELCHTH ; INDMTRDSLHTH ; INDMTRNGSHTH ; INDMTRBIOHTH ; INDMTRCOAHTH ; INDMTRHDGHTH ; INDMTRGSLMDR ; INDMTRDSLMDR ; INDMTRELCMDR ; INDMTRPLT ; INDCHMPLT ; INDCHMELCHTH ; INDCHMKERHTH ; INDCHMNGSHTH ; INDCHMBIOHTH ; INDCHMCOAHTH ; INDCHMHDGHTH ; INDFBTELCHTH ; INDFBTPLT ; INDFBTHFOHTH ; INDFBTNGSHTH ; INDFBTBIOHTH ; INDFBTCOAHTH ; INDFBTHDGHTH ; INDHFOKLN ; INDNGSKLNCCS ; INDNGSKLN ; INDBIOKLNCCS ; INDBIOKLN ; INDCOAKLNCCS ; INDKLNCOA ; INDWSTKLN ; INDCEM</t>
  </si>
  <si>
    <t>DEMTRALPG ; DEMTRAELC ; DEMTRADSL ; DEMTRAGSL</t>
  </si>
  <si>
    <t>Uncertainty</t>
  </si>
  <si>
    <t>OSeMOSYS-UGA inputs</t>
  </si>
  <si>
    <t>Capital Costs Industry</t>
  </si>
  <si>
    <t>CapitalCost</t>
  </si>
  <si>
    <t>INDIRSHDGDRI ; INDNGSKLNCCS ; INDBIOKLNCCS ; INDCOAKLNCCS ; INDIRSNGSDRI ; INDWSTKLN ; INDHFOKLN ; INDNGSKLN ; INDBIOKLN ; INDKLNCOA</t>
  </si>
  <si>
    <t>TRAELCCARCUR ; TRAELCCARNEW ; TRAELCMCYCUR ; TRAELCMCYNEW ; TRAELCMNBCUR ; TRAELCMNBNEW ; TRAELCBUSCUR ; TRAELCBUSNEW ; TRAELCLTRCUR ; TRAELCLTRNEW ; TRAELCMTRCUR ; TRAELCMTRNEW ; TRAELCHTRCUR ; TRAELCHTRNEW</t>
  </si>
  <si>
    <t>TRADSLCARCUR ; TRALPGCARNEW ; TRADSLCARNEW ; TRADSLMCYNEW ; TRADSLMNBCUR ; TRALPGMNBNEW ; TRADSLMNBNEW ; TRADSHMNBNEW ; TRADSLBUSCUR ; TRADSLBUSNEW ; TRALPGBUSNEW ; TRADSLBUSNEW ; TRADSLLTRCUR ; TRADSLLTRNEW ; TRADSHLTRNEW ; TRADSLMTRCUR ; TRADSLMTRNEW ; TRADSLHTRCUR ; TRADSLHTRNEW</t>
  </si>
  <si>
    <t>Capital Costs ICE Transport</t>
  </si>
  <si>
    <t>FixedCost</t>
  </si>
  <si>
    <t>LNDPLAHR ; LNDPLALR ; LNDMAIHR ; LNDMAILR ; LNDCASHR ; LNDCASLR ; LNDBEAHR ; LNDBEALR ; LNDCOFHR ; LNDCOFLR ; LNDGROHR ; LNDGROLR ; LNDPTSHR ; LNDPTSLR ; LNDSUNHR ; LNDSUNLR ; LNDOTCHR ; LNDOTCLR ; LNDSORHR ; LNDSORLR ; LNDSESHR ; LNDSESLR ; LNDRICHR ; LNDRICHI ; LNDRICLR; LNDSOYHR ; LNDSOYLR ; LNDVEGHR ; LNDVEGLR</t>
  </si>
  <si>
    <t>Fixed Costs Crops</t>
  </si>
  <si>
    <t>Fixed Costs ICE Transport</t>
  </si>
  <si>
    <t>VariableCost</t>
  </si>
  <si>
    <t>Variable Costs Crops</t>
  </si>
  <si>
    <t>Variable Costs Import Fuels</t>
  </si>
  <si>
    <t>IMPDSL ; IMPGSL ; IMPKER ; IMPHFO ; IMPLPG</t>
  </si>
  <si>
    <t>Costs</t>
  </si>
  <si>
    <t>average_across_rel2023</t>
  </si>
  <si>
    <t>Capital Costs Electric Transport</t>
  </si>
  <si>
    <t>Fixed Costs Electric Transport</t>
  </si>
  <si>
    <t>CH4 ; CO2 ; CO2eq ; N2O</t>
  </si>
  <si>
    <t>AnnualTechnologyEmission</t>
  </si>
  <si>
    <t>Emissions</t>
  </si>
  <si>
    <t>Residential Demand</t>
  </si>
  <si>
    <t>RESLGTR ; RESLGTU ; RESCKNR ; RESCKNU ; RESSPHR ; RESWTHR ; RESWTHU ; RESCOLU ; RESELCOTHR ; RESELCOTHU</t>
  </si>
  <si>
    <t>AccumulatedAnnualDemand</t>
  </si>
  <si>
    <t>Fuel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</si>
</sst>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b/>
      <u/>
      <sz val="9"/>
      <color indexed="81"/>
      <name val="Tahoma"/>
      <family val="2"/>
    </font>
    <font>
      <u/>
      <sz val="11"/>
      <color theme="1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n">
        <color indexed="64"/>
      </bottom>
      <diagonal/>
    </border>
    <border>
      <left/>
      <right style="thick">
        <color auto="1"/>
      </right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center" vertical="center"/>
    </xf>
    <xf numFmtId="0" fontId="0" fillId="2" borderId="3" xfId="0" applyFill="1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3" borderId="3" xfId="0" applyFill="1" applyBorder="1" applyAlignment="1">
      <alignment horizontal="left" vertical="center" wrapText="1"/>
    </xf>
    <xf numFmtId="0" fontId="1" fillId="0" borderId="11" xfId="0" applyFont="1" applyBorder="1" applyAlignment="1">
      <alignment horizontal="center" vertical="center" wrapText="1"/>
    </xf>
    <xf numFmtId="0" fontId="0" fillId="4" borderId="13" xfId="0" applyFill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5" borderId="11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left" vertical="center" wrapText="1"/>
    </xf>
    <xf numFmtId="0" fontId="1" fillId="3" borderId="4" xfId="0" applyFont="1" applyFill="1" applyBorder="1" applyAlignment="1">
      <alignment horizontal="left" vertical="center" wrapText="1"/>
    </xf>
    <xf numFmtId="0" fontId="1" fillId="0" borderId="16" xfId="0" applyFont="1" applyBorder="1"/>
    <xf numFmtId="0" fontId="1" fillId="0" borderId="17" xfId="0" applyFont="1" applyBorder="1"/>
    <xf numFmtId="0" fontId="6" fillId="5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left" vertical="center" wrapText="1"/>
    </xf>
    <xf numFmtId="0" fontId="6" fillId="5" borderId="14" xfId="0" applyFont="1" applyFill="1" applyBorder="1" applyAlignment="1">
      <alignment horizontal="center" vertical="center" wrapText="1"/>
    </xf>
    <xf numFmtId="0" fontId="1" fillId="3" borderId="18" xfId="0" applyFont="1" applyFill="1" applyBorder="1" applyAlignment="1">
      <alignment horizontal="left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5" fillId="3" borderId="4" xfId="0" applyFont="1" applyFill="1" applyBorder="1" applyAlignment="1">
      <alignment horizontal="left" vertical="center" wrapText="1"/>
    </xf>
    <xf numFmtId="0" fontId="1" fillId="0" borderId="14" xfId="0" applyFont="1" applyBorder="1" applyAlignment="1">
      <alignment horizontal="center" vertical="center" wrapText="1"/>
    </xf>
    <xf numFmtId="0" fontId="0" fillId="3" borderId="18" xfId="0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5" borderId="17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left" vertical="center" wrapText="1"/>
    </xf>
    <xf numFmtId="0" fontId="0" fillId="0" borderId="23" xfId="0" applyBorder="1"/>
    <xf numFmtId="0" fontId="0" fillId="0" borderId="19" xfId="0" applyBorder="1"/>
    <xf numFmtId="0" fontId="0" fillId="0" borderId="20" xfId="0" applyBorder="1"/>
    <xf numFmtId="0" fontId="1" fillId="0" borderId="19" xfId="0" applyFont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 wrapText="1"/>
    </xf>
    <xf numFmtId="0" fontId="0" fillId="0" borderId="20" xfId="0" applyBorder="1" applyAlignment="1">
      <alignment wrapText="1"/>
    </xf>
    <xf numFmtId="0" fontId="0" fillId="0" borderId="24" xfId="0" applyBorder="1" applyAlignment="1">
      <alignment horizontal="left"/>
    </xf>
    <xf numFmtId="0" fontId="0" fillId="0" borderId="23" xfId="0" applyBorder="1" applyAlignment="1">
      <alignment horizontal="left" wrapText="1"/>
    </xf>
    <xf numFmtId="0" fontId="0" fillId="0" borderId="23" xfId="0" applyBorder="1" applyAlignment="1">
      <alignment horizontal="left"/>
    </xf>
    <xf numFmtId="0" fontId="0" fillId="0" borderId="25" xfId="0" applyBorder="1" applyAlignment="1">
      <alignment horizontal="left"/>
    </xf>
    <xf numFmtId="0" fontId="0" fillId="3" borderId="4" xfId="0" applyFill="1" applyBorder="1" applyAlignment="1">
      <alignment horizontal="left" vertical="center" wrapText="1"/>
    </xf>
    <xf numFmtId="0" fontId="1" fillId="0" borderId="9" xfId="0" applyFont="1" applyBorder="1" applyAlignment="1">
      <alignment horizontal="center" vertical="center" wrapText="1"/>
    </xf>
    <xf numFmtId="0" fontId="0" fillId="3" borderId="15" xfId="0" applyFill="1" applyBorder="1" applyAlignment="1">
      <alignment horizontal="left" vertical="center" wrapText="1"/>
    </xf>
    <xf numFmtId="0" fontId="5" fillId="3" borderId="2" xfId="0" applyFont="1" applyFill="1" applyBorder="1" applyAlignment="1">
      <alignment horizontal="left" vertical="center" wrapText="1"/>
    </xf>
    <xf numFmtId="0" fontId="5" fillId="3" borderId="3" xfId="0" applyFont="1" applyFill="1" applyBorder="1" applyAlignment="1">
      <alignment horizontal="left" vertical="center" wrapText="1"/>
    </xf>
    <xf numFmtId="0" fontId="0" fillId="3" borderId="13" xfId="0" applyFill="1" applyBorder="1" applyAlignment="1">
      <alignment horizontal="left" vertical="center" wrapText="1"/>
    </xf>
    <xf numFmtId="0" fontId="1" fillId="0" borderId="27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3" borderId="22" xfId="0" applyFill="1" applyBorder="1" applyAlignment="1">
      <alignment horizontal="left" vertical="center" wrapText="1"/>
    </xf>
    <xf numFmtId="0" fontId="6" fillId="5" borderId="9" xfId="0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0" fillId="8" borderId="6" xfId="0" applyFill="1" applyBorder="1"/>
    <xf numFmtId="0" fontId="0" fillId="7" borderId="6" xfId="0" applyFill="1" applyBorder="1"/>
    <xf numFmtId="0" fontId="0" fillId="4" borderId="4" xfId="0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left" vertical="center" wrapText="1"/>
    </xf>
    <xf numFmtId="0" fontId="0" fillId="4" borderId="7" xfId="0" applyFill="1" applyBorder="1" applyAlignment="1">
      <alignment horizontal="left" vertical="center" wrapText="1"/>
    </xf>
    <xf numFmtId="0" fontId="0" fillId="4" borderId="6" xfId="0" applyFill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6" borderId="6" xfId="0" applyFill="1" applyBorder="1" applyAlignment="1">
      <alignment horizontal="left" vertical="center" wrapText="1"/>
    </xf>
    <xf numFmtId="0" fontId="0" fillId="4" borderId="6" xfId="0" applyFill="1" applyBorder="1" applyAlignment="1">
      <alignment horizontal="left" vertical="center" wrapText="1"/>
    </xf>
    <xf numFmtId="0" fontId="1" fillId="3" borderId="6" xfId="0" applyFont="1" applyFill="1" applyBorder="1" applyAlignment="1">
      <alignment horizontal="left" vertical="center" wrapText="1"/>
    </xf>
    <xf numFmtId="0" fontId="0" fillId="6" borderId="2" xfId="0" applyFill="1" applyBorder="1" applyAlignment="1">
      <alignment horizontal="left" vertical="center"/>
    </xf>
    <xf numFmtId="0" fontId="0" fillId="4" borderId="3" xfId="0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6" borderId="3" xfId="0" applyFill="1" applyBorder="1" applyAlignment="1">
      <alignment horizontal="left" vertical="center" wrapText="1"/>
    </xf>
    <xf numFmtId="0" fontId="0" fillId="4" borderId="3" xfId="0" applyFill="1" applyBorder="1" applyAlignment="1">
      <alignment horizontal="left" vertical="center" wrapText="1"/>
    </xf>
    <xf numFmtId="0" fontId="1" fillId="3" borderId="3" xfId="0" applyFont="1" applyFill="1" applyBorder="1" applyAlignment="1">
      <alignment horizontal="left" vertical="center" wrapText="1"/>
    </xf>
    <xf numFmtId="0" fontId="0" fillId="6" borderId="5" xfId="0" applyFill="1" applyBorder="1" applyAlignment="1">
      <alignment horizontal="left" vertical="center"/>
    </xf>
    <xf numFmtId="0" fontId="0" fillId="6" borderId="12" xfId="0" applyFill="1" applyBorder="1" applyAlignment="1">
      <alignment horizontal="left" vertical="center" wrapText="1"/>
    </xf>
    <xf numFmtId="0" fontId="1" fillId="9" borderId="6" xfId="0" applyFont="1" applyFill="1" applyBorder="1" applyAlignment="1">
      <alignment horizontal="left" vertical="center" wrapText="1"/>
    </xf>
    <xf numFmtId="0" fontId="0" fillId="9" borderId="3" xfId="0" applyFill="1" applyBorder="1" applyAlignment="1">
      <alignment horizontal="left" vertical="center" wrapText="1"/>
    </xf>
    <xf numFmtId="0" fontId="0" fillId="9" borderId="6" xfId="0" applyFill="1" applyBorder="1" applyAlignment="1">
      <alignment horizontal="left" vertical="center" wrapText="1"/>
    </xf>
    <xf numFmtId="0" fontId="1" fillId="0" borderId="28" xfId="0" applyFont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7" fillId="5" borderId="28" xfId="0" applyFont="1" applyFill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6" fillId="5" borderId="28" xfId="0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9" borderId="3" xfId="0" applyFont="1" applyFill="1" applyBorder="1" applyAlignment="1">
      <alignment horizontal="left" vertical="center" wrapText="1"/>
    </xf>
    <xf numFmtId="0" fontId="0" fillId="6" borderId="31" xfId="0" applyFill="1" applyBorder="1" applyAlignment="1">
      <alignment horizontal="left" vertical="center"/>
    </xf>
    <xf numFmtId="0" fontId="0" fillId="4" borderId="32" xfId="0" applyFill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0" fillId="2" borderId="32" xfId="0" applyFill="1" applyBorder="1" applyAlignment="1">
      <alignment horizontal="left" vertical="center" wrapText="1"/>
    </xf>
    <xf numFmtId="0" fontId="0" fillId="10" borderId="32" xfId="0" applyFill="1" applyBorder="1" applyAlignment="1">
      <alignment horizontal="left" vertical="center" wrapText="1"/>
    </xf>
    <xf numFmtId="0" fontId="1" fillId="9" borderId="32" xfId="0" applyFont="1" applyFill="1" applyBorder="1" applyAlignment="1">
      <alignment horizontal="left" vertical="center" wrapText="1"/>
    </xf>
    <xf numFmtId="0" fontId="1" fillId="2" borderId="32" xfId="0" applyFont="1" applyFill="1" applyBorder="1" applyAlignment="1">
      <alignment horizontal="left" vertical="center" wrapText="1"/>
    </xf>
    <xf numFmtId="0" fontId="0" fillId="6" borderId="32" xfId="0" applyFill="1" applyBorder="1" applyAlignment="1">
      <alignment horizontal="left" vertical="center" wrapText="1"/>
    </xf>
    <xf numFmtId="0" fontId="5" fillId="2" borderId="32" xfId="0" applyFont="1" applyFill="1" applyBorder="1" applyAlignment="1">
      <alignment horizontal="left" vertical="center" wrapText="1"/>
    </xf>
    <xf numFmtId="0" fontId="0" fillId="4" borderId="32" xfId="0" applyFill="1" applyBorder="1" applyAlignment="1">
      <alignment horizontal="left" vertical="center" wrapText="1"/>
    </xf>
    <xf numFmtId="0" fontId="0" fillId="3" borderId="32" xfId="0" applyFill="1" applyBorder="1" applyAlignment="1">
      <alignment horizontal="left" vertical="center" wrapText="1"/>
    </xf>
    <xf numFmtId="0" fontId="1" fillId="3" borderId="32" xfId="0" applyFont="1" applyFill="1" applyBorder="1" applyAlignment="1">
      <alignment horizontal="left" vertical="center" wrapText="1"/>
    </xf>
    <xf numFmtId="0" fontId="5" fillId="3" borderId="32" xfId="0" applyFont="1" applyFill="1" applyBorder="1" applyAlignment="1">
      <alignment horizontal="left" vertical="center" wrapText="1"/>
    </xf>
    <xf numFmtId="0" fontId="0" fillId="4" borderId="33" xfId="0" applyFill="1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6" borderId="34" xfId="0" applyFill="1" applyBorder="1" applyAlignment="1">
      <alignment horizontal="left" vertical="center"/>
    </xf>
    <xf numFmtId="0" fontId="0" fillId="4" borderId="35" xfId="0" applyFill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2" borderId="35" xfId="0" applyFill="1" applyBorder="1" applyAlignment="1">
      <alignment horizontal="left" vertical="center" wrapText="1"/>
    </xf>
    <xf numFmtId="0" fontId="1" fillId="9" borderId="35" xfId="0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left" vertical="center" wrapText="1"/>
    </xf>
    <xf numFmtId="0" fontId="0" fillId="6" borderId="35" xfId="0" applyFill="1" applyBorder="1" applyAlignment="1">
      <alignment horizontal="left" vertical="center" wrapText="1"/>
    </xf>
    <xf numFmtId="0" fontId="5" fillId="2" borderId="35" xfId="0" applyFont="1" applyFill="1" applyBorder="1" applyAlignment="1">
      <alignment horizontal="left" vertical="center" wrapText="1"/>
    </xf>
    <xf numFmtId="0" fontId="0" fillId="4" borderId="35" xfId="0" applyFill="1" applyBorder="1" applyAlignment="1">
      <alignment horizontal="left" vertical="center" wrapText="1"/>
    </xf>
    <xf numFmtId="0" fontId="0" fillId="3" borderId="35" xfId="0" applyFill="1" applyBorder="1" applyAlignment="1">
      <alignment horizontal="left" vertical="center" wrapText="1"/>
    </xf>
    <xf numFmtId="0" fontId="1" fillId="3" borderId="35" xfId="0" applyFont="1" applyFill="1" applyBorder="1" applyAlignment="1">
      <alignment horizontal="left" vertical="center" wrapText="1"/>
    </xf>
    <xf numFmtId="0" fontId="5" fillId="3" borderId="35" xfId="0" applyFont="1" applyFill="1" applyBorder="1" applyAlignment="1">
      <alignment horizontal="left" vertical="center" wrapText="1"/>
    </xf>
    <xf numFmtId="0" fontId="0" fillId="4" borderId="36" xfId="0" applyFill="1" applyBorder="1" applyAlignment="1">
      <alignment horizontal="left" vertical="center" wrapText="1"/>
    </xf>
    <xf numFmtId="0" fontId="0" fillId="10" borderId="6" xfId="0" applyFill="1" applyBorder="1" applyAlignment="1">
      <alignment horizontal="left" vertical="center" wrapText="1"/>
    </xf>
    <xf numFmtId="0" fontId="0" fillId="10" borderId="35" xfId="0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D7178-9A19-4D94-AD58-F67B1A7583E4}">
  <dimension ref="A1:B19"/>
  <sheetViews>
    <sheetView workbookViewId="0"/>
  </sheetViews>
  <sheetFormatPr defaultRowHeight="15" x14ac:dyDescent="0.25"/>
  <cols>
    <col min="1" max="1" width="12.42578125" customWidth="1"/>
  </cols>
  <sheetData>
    <row r="1" spans="1:2" x14ac:dyDescent="0.25">
      <c r="A1" t="s">
        <v>0</v>
      </c>
    </row>
    <row r="2" spans="1:2" x14ac:dyDescent="0.25">
      <c r="A2" t="s">
        <v>1</v>
      </c>
    </row>
    <row r="3" spans="1:2" x14ac:dyDescent="0.25">
      <c r="A3" t="s">
        <v>2</v>
      </c>
    </row>
    <row r="5" spans="1:2" x14ac:dyDescent="0.25">
      <c r="A5" s="2" t="s">
        <v>3</v>
      </c>
    </row>
    <row r="6" spans="1:2" x14ac:dyDescent="0.25">
      <c r="A6">
        <v>1</v>
      </c>
      <c r="B6" t="s">
        <v>19</v>
      </c>
    </row>
    <row r="18" spans="1:2" x14ac:dyDescent="0.25">
      <c r="A18" s="2" t="s">
        <v>5</v>
      </c>
    </row>
    <row r="19" spans="1:2" x14ac:dyDescent="0.25">
      <c r="A19" s="1" t="s">
        <v>4</v>
      </c>
      <c r="B19" t="s">
        <v>6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A260C-798C-4AE5-8FFD-D097260F58C5}">
  <sheetPr>
    <tabColor rgb="FF92D050"/>
  </sheetPr>
  <dimension ref="A1:CT770"/>
  <sheetViews>
    <sheetView tabSelected="1" zoomScale="85" zoomScaleNormal="85"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Q20" sqref="Q20"/>
    </sheetView>
  </sheetViews>
  <sheetFormatPr defaultColWidth="0" defaultRowHeight="15" zeroHeight="1" x14ac:dyDescent="0.25"/>
  <cols>
    <col min="1" max="1" width="13.42578125" customWidth="1"/>
    <col min="2" max="2" width="8.85546875" customWidth="1"/>
    <col min="3" max="3" width="14.140625" customWidth="1"/>
    <col min="4" max="4" width="8.85546875" customWidth="1"/>
    <col min="5" max="5" width="15.42578125" customWidth="1"/>
    <col min="6" max="6" width="12.28515625" customWidth="1"/>
    <col min="7" max="7" width="14.85546875" customWidth="1"/>
    <col min="8" max="8" width="10.5703125" customWidth="1"/>
    <col min="9" max="9" width="17.5703125" customWidth="1"/>
    <col min="10" max="10" width="36" customWidth="1"/>
    <col min="11" max="11" width="20" customWidth="1"/>
    <col min="12" max="12" width="27.5703125" customWidth="1"/>
    <col min="13" max="13" width="36.28515625" customWidth="1"/>
    <col min="14" max="14" width="21.28515625" customWidth="1"/>
    <col min="15" max="15" width="117.140625" customWidth="1"/>
    <col min="16" max="16" width="28.28515625" customWidth="1"/>
    <col min="17" max="17" width="25.42578125" customWidth="1"/>
    <col min="18" max="18" width="21.42578125" customWidth="1"/>
    <col min="19" max="19" width="28.7109375" customWidth="1"/>
    <col min="20" max="20" width="24" customWidth="1"/>
    <col min="21" max="21" width="24.5703125" customWidth="1"/>
    <col min="22" max="22" width="26.7109375" customWidth="1"/>
    <col min="23" max="23" width="26" customWidth="1"/>
    <col min="24" max="25" width="24.7109375" customWidth="1"/>
    <col min="26" max="26" width="26.42578125" customWidth="1"/>
    <col min="27" max="27" width="24.5703125" customWidth="1"/>
    <col min="28" max="28" width="20.28515625" customWidth="1"/>
    <col min="29" max="29" width="22" customWidth="1"/>
    <col min="30" max="30" width="15.85546875" customWidth="1"/>
    <col min="31" max="31" width="12.140625" customWidth="1"/>
    <col min="32" max="32" width="14.140625" customWidth="1"/>
    <col min="33" max="33" width="13.28515625" bestFit="1" customWidth="1"/>
    <col min="34" max="34" width="25" bestFit="1" customWidth="1"/>
    <col min="35" max="35" width="19.140625" bestFit="1" customWidth="1"/>
    <col min="36" max="36" width="20.85546875" customWidth="1"/>
    <col min="37" max="37" width="30" customWidth="1"/>
    <col min="38" max="38" width="24" customWidth="1"/>
    <col min="39" max="39" width="246.28515625" bestFit="1" customWidth="1"/>
    <col min="40" max="40" width="24.85546875" customWidth="1"/>
    <col min="41" max="41" width="25.42578125" customWidth="1"/>
    <col min="42" max="42" width="22.42578125" customWidth="1"/>
    <col min="43" max="43" width="22.5703125" customWidth="1"/>
    <col min="44" max="44" width="23.85546875" customWidth="1"/>
    <col min="45" max="45" width="24.140625" customWidth="1"/>
    <col min="46" max="46" width="26" customWidth="1"/>
    <col min="47" max="47" width="25.85546875" customWidth="1"/>
    <col min="48" max="48" width="25.42578125" customWidth="1"/>
    <col min="49" max="49" width="25.7109375" customWidth="1"/>
    <col min="50" max="50" width="27" customWidth="1"/>
    <col min="51" max="51" width="28.28515625" customWidth="1"/>
    <col min="52" max="52" width="12.85546875" customWidth="1"/>
    <col min="53" max="53" width="22.28515625" customWidth="1"/>
    <col min="54" max="82" width="8.85546875" customWidth="1"/>
    <col min="83" max="98" width="0" hidden="1" customWidth="1"/>
    <col min="99" max="16384" width="8.85546875" hidden="1"/>
  </cols>
  <sheetData>
    <row r="1" spans="1:61" ht="86.25" customHeight="1" thickBot="1" x14ac:dyDescent="0.3">
      <c r="A1" s="81" t="s">
        <v>123</v>
      </c>
      <c r="B1" s="82" t="s">
        <v>7</v>
      </c>
      <c r="C1" s="83" t="s">
        <v>124</v>
      </c>
      <c r="D1" s="83" t="s">
        <v>21</v>
      </c>
      <c r="E1" s="80" t="s">
        <v>127</v>
      </c>
      <c r="F1" s="84" t="s">
        <v>126</v>
      </c>
      <c r="G1" s="84" t="s">
        <v>125</v>
      </c>
      <c r="H1" s="80" t="s">
        <v>134</v>
      </c>
      <c r="I1" s="82" t="s">
        <v>10</v>
      </c>
      <c r="J1" s="80" t="s">
        <v>9</v>
      </c>
      <c r="K1" s="80" t="s">
        <v>13</v>
      </c>
      <c r="L1" s="82" t="s">
        <v>24</v>
      </c>
      <c r="M1" s="85" t="s">
        <v>28</v>
      </c>
      <c r="N1" s="85" t="s">
        <v>31</v>
      </c>
      <c r="O1" s="80" t="s">
        <v>95</v>
      </c>
      <c r="P1" s="80" t="s">
        <v>96</v>
      </c>
      <c r="Q1" s="80" t="s">
        <v>97</v>
      </c>
      <c r="R1" s="80" t="s">
        <v>98</v>
      </c>
      <c r="S1" s="85" t="s">
        <v>99</v>
      </c>
      <c r="T1" s="86" t="s">
        <v>100</v>
      </c>
      <c r="U1" s="86" t="s">
        <v>101</v>
      </c>
      <c r="V1" s="86" t="s">
        <v>102</v>
      </c>
      <c r="W1" s="86" t="s">
        <v>103</v>
      </c>
      <c r="X1" s="85" t="s">
        <v>104</v>
      </c>
      <c r="Y1" s="85" t="s">
        <v>105</v>
      </c>
      <c r="Z1" s="85" t="s">
        <v>106</v>
      </c>
      <c r="AA1" s="85" t="s">
        <v>107</v>
      </c>
      <c r="AB1" s="80" t="s">
        <v>23</v>
      </c>
      <c r="AC1" s="80" t="s">
        <v>67</v>
      </c>
      <c r="AD1" s="80" t="s">
        <v>128</v>
      </c>
      <c r="AE1" s="80" t="s">
        <v>133</v>
      </c>
      <c r="AF1" s="80" t="s">
        <v>131</v>
      </c>
      <c r="AG1" s="80" t="s">
        <v>129</v>
      </c>
      <c r="AH1" s="80" t="s">
        <v>8</v>
      </c>
      <c r="AI1" s="80" t="s">
        <v>14</v>
      </c>
      <c r="AJ1" s="80" t="s">
        <v>25</v>
      </c>
      <c r="AK1" s="87" t="s">
        <v>108</v>
      </c>
      <c r="AL1" s="87" t="s">
        <v>109</v>
      </c>
      <c r="AM1" s="80" t="s">
        <v>110</v>
      </c>
      <c r="AN1" s="80" t="s">
        <v>111</v>
      </c>
      <c r="AO1" s="80" t="s">
        <v>112</v>
      </c>
      <c r="AP1" s="80" t="s">
        <v>113</v>
      </c>
      <c r="AQ1" s="87" t="s">
        <v>114</v>
      </c>
      <c r="AR1" s="88" t="s">
        <v>115</v>
      </c>
      <c r="AS1" s="88" t="s">
        <v>116</v>
      </c>
      <c r="AT1" s="88" t="s">
        <v>117</v>
      </c>
      <c r="AU1" s="88" t="s">
        <v>118</v>
      </c>
      <c r="AV1" s="87" t="s">
        <v>119</v>
      </c>
      <c r="AW1" s="87" t="s">
        <v>120</v>
      </c>
      <c r="AX1" s="87" t="s">
        <v>121</v>
      </c>
      <c r="AY1" s="87" t="s">
        <v>122</v>
      </c>
      <c r="AZ1" s="80" t="s">
        <v>26</v>
      </c>
      <c r="BA1" s="89" t="s">
        <v>68</v>
      </c>
      <c r="BE1" s="3"/>
      <c r="BF1" s="3"/>
      <c r="BG1" s="3"/>
      <c r="BH1" s="3"/>
      <c r="BI1" s="3"/>
    </row>
    <row r="2" spans="1:61" ht="175.5" customHeight="1" x14ac:dyDescent="0.25">
      <c r="A2" s="69">
        <f t="shared" ref="A2:A3" si="0">AD2</f>
        <v>1</v>
      </c>
      <c r="B2" s="70">
        <f>C2</f>
        <v>1</v>
      </c>
      <c r="C2" s="71">
        <f t="shared" ref="C2:C3" si="1">A2</f>
        <v>1</v>
      </c>
      <c r="D2" s="71" t="s">
        <v>22</v>
      </c>
      <c r="E2" s="4"/>
      <c r="F2" s="4">
        <v>1</v>
      </c>
      <c r="G2" s="4">
        <f>1</f>
        <v>1</v>
      </c>
      <c r="H2" s="4" t="s">
        <v>135</v>
      </c>
      <c r="I2" s="4" t="s">
        <v>179</v>
      </c>
      <c r="J2" s="78" t="s">
        <v>197</v>
      </c>
      <c r="K2" s="4" t="s">
        <v>11</v>
      </c>
      <c r="L2" s="4" t="s">
        <v>180</v>
      </c>
      <c r="M2" s="90" t="s">
        <v>196</v>
      </c>
      <c r="N2" s="31" t="s">
        <v>12</v>
      </c>
      <c r="O2" s="72" t="s">
        <v>184</v>
      </c>
      <c r="P2" s="4" t="s">
        <v>12</v>
      </c>
      <c r="Q2" s="4" t="s">
        <v>182</v>
      </c>
      <c r="R2" s="4" t="s">
        <v>27</v>
      </c>
      <c r="S2" s="31" t="s">
        <v>12</v>
      </c>
      <c r="T2" s="32" t="s">
        <v>29</v>
      </c>
      <c r="U2" s="32" t="s">
        <v>12</v>
      </c>
      <c r="V2" s="32" t="s">
        <v>12</v>
      </c>
      <c r="W2" s="32" t="s">
        <v>12</v>
      </c>
      <c r="X2" s="31" t="s">
        <v>29</v>
      </c>
      <c r="Y2" s="31" t="s">
        <v>12</v>
      </c>
      <c r="Z2" s="31" t="s">
        <v>12</v>
      </c>
      <c r="AA2" s="31" t="s">
        <v>12</v>
      </c>
      <c r="AB2" s="73" t="s">
        <v>175</v>
      </c>
      <c r="AC2" s="73" t="s">
        <v>15</v>
      </c>
      <c r="AD2" s="6">
        <v>1</v>
      </c>
      <c r="AE2" s="6" t="s">
        <v>135</v>
      </c>
      <c r="AF2" s="6" t="s">
        <v>132</v>
      </c>
      <c r="AG2" s="6" t="s">
        <v>130</v>
      </c>
      <c r="AH2" s="6" t="s">
        <v>195</v>
      </c>
      <c r="AI2" s="6" t="s">
        <v>11</v>
      </c>
      <c r="AJ2" s="6" t="s">
        <v>174</v>
      </c>
      <c r="AK2" s="74" t="s">
        <v>30</v>
      </c>
      <c r="AL2" s="74" t="s">
        <v>12</v>
      </c>
      <c r="AM2" s="72" t="s">
        <v>177</v>
      </c>
      <c r="AN2" s="6" t="s">
        <v>12</v>
      </c>
      <c r="AO2" s="6" t="s">
        <v>176</v>
      </c>
      <c r="AP2" s="6" t="s">
        <v>27</v>
      </c>
      <c r="AQ2" s="74" t="s">
        <v>12</v>
      </c>
      <c r="AR2" s="49" t="s">
        <v>29</v>
      </c>
      <c r="AS2" s="49" t="s">
        <v>12</v>
      </c>
      <c r="AT2" s="49" t="s">
        <v>12</v>
      </c>
      <c r="AU2" s="49" t="s">
        <v>12</v>
      </c>
      <c r="AV2" s="74" t="s">
        <v>29</v>
      </c>
      <c r="AW2" s="74" t="s">
        <v>12</v>
      </c>
      <c r="AX2" s="74" t="s">
        <v>12</v>
      </c>
      <c r="AY2" s="74" t="s">
        <v>12</v>
      </c>
      <c r="AZ2" s="73" t="s">
        <v>175</v>
      </c>
      <c r="BA2" s="60" t="s">
        <v>15</v>
      </c>
      <c r="BE2" s="3"/>
      <c r="BF2" s="3"/>
      <c r="BG2" s="3"/>
      <c r="BH2" s="3"/>
      <c r="BI2" s="3"/>
    </row>
    <row r="3" spans="1:61" ht="86.25" customHeight="1" x14ac:dyDescent="0.25">
      <c r="A3" s="75">
        <f t="shared" si="0"/>
        <v>1</v>
      </c>
      <c r="B3" s="64">
        <v>1</v>
      </c>
      <c r="C3" s="65">
        <f t="shared" si="1"/>
        <v>1</v>
      </c>
      <c r="D3" s="65" t="s">
        <v>22</v>
      </c>
      <c r="E3" s="5"/>
      <c r="F3" s="5">
        <v>2</v>
      </c>
      <c r="G3" s="5">
        <f t="shared" ref="G3" si="2">G2+1</f>
        <v>2</v>
      </c>
      <c r="H3" s="5" t="s">
        <v>135</v>
      </c>
      <c r="I3" s="5" t="s">
        <v>179</v>
      </c>
      <c r="J3" s="79" t="s">
        <v>186</v>
      </c>
      <c r="K3" s="5" t="s">
        <v>11</v>
      </c>
      <c r="L3" s="5" t="s">
        <v>180</v>
      </c>
      <c r="M3" s="77" t="s">
        <v>196</v>
      </c>
      <c r="N3" s="62" t="s">
        <v>12</v>
      </c>
      <c r="O3" s="66" t="s">
        <v>185</v>
      </c>
      <c r="P3" s="5" t="s">
        <v>12</v>
      </c>
      <c r="Q3" s="5" t="s">
        <v>182</v>
      </c>
      <c r="R3" s="5" t="s">
        <v>27</v>
      </c>
      <c r="S3" s="62" t="s">
        <v>12</v>
      </c>
      <c r="T3" s="61" t="s">
        <v>29</v>
      </c>
      <c r="U3" s="61" t="s">
        <v>12</v>
      </c>
      <c r="V3" s="61" t="s">
        <v>12</v>
      </c>
      <c r="W3" s="61" t="s">
        <v>12</v>
      </c>
      <c r="X3" s="62" t="s">
        <v>29</v>
      </c>
      <c r="Y3" s="62" t="s">
        <v>12</v>
      </c>
      <c r="Z3" s="62" t="s">
        <v>12</v>
      </c>
      <c r="AA3" s="62" t="s">
        <v>12</v>
      </c>
      <c r="AB3" s="67" t="s">
        <v>175</v>
      </c>
      <c r="AC3" s="67" t="s">
        <v>15</v>
      </c>
      <c r="AD3" s="56">
        <v>1</v>
      </c>
      <c r="AE3" s="56" t="s">
        <v>135</v>
      </c>
      <c r="AF3" s="56"/>
      <c r="AG3" s="56" t="s">
        <v>130</v>
      </c>
      <c r="AH3" s="56" t="s">
        <v>195</v>
      </c>
      <c r="AI3" s="56" t="s">
        <v>11</v>
      </c>
      <c r="AJ3" s="56"/>
      <c r="AK3" s="68"/>
      <c r="AL3" s="68"/>
      <c r="AM3" s="56"/>
      <c r="AN3" s="56"/>
      <c r="AO3" s="56"/>
      <c r="AP3" s="56"/>
      <c r="AQ3" s="68"/>
      <c r="AR3" s="57"/>
      <c r="AS3" s="57"/>
      <c r="AT3" s="57"/>
      <c r="AU3" s="57"/>
      <c r="AV3" s="68"/>
      <c r="AW3" s="68"/>
      <c r="AX3" s="68"/>
      <c r="AY3" s="68"/>
      <c r="AZ3" s="67"/>
      <c r="BA3" s="63"/>
      <c r="BE3" s="3"/>
      <c r="BF3" s="3"/>
      <c r="BG3" s="3"/>
      <c r="BH3" s="3"/>
      <c r="BI3" s="3"/>
    </row>
    <row r="4" spans="1:61" ht="86.25" customHeight="1" x14ac:dyDescent="0.25">
      <c r="A4" s="75">
        <v>1</v>
      </c>
      <c r="B4" s="64">
        <f t="shared" ref="B4" si="3">C4</f>
        <v>1</v>
      </c>
      <c r="C4" s="65">
        <f>A4</f>
        <v>1</v>
      </c>
      <c r="D4" s="65" t="s">
        <v>22</v>
      </c>
      <c r="E4" s="5"/>
      <c r="F4" s="5">
        <v>3</v>
      </c>
      <c r="G4" s="5">
        <f>G3+1</f>
        <v>3</v>
      </c>
      <c r="H4" s="5" t="s">
        <v>135</v>
      </c>
      <c r="I4" s="5" t="s">
        <v>179</v>
      </c>
      <c r="J4" s="79" t="s">
        <v>181</v>
      </c>
      <c r="K4" s="5" t="s">
        <v>11</v>
      </c>
      <c r="L4" s="5" t="s">
        <v>180</v>
      </c>
      <c r="M4" s="77" t="s">
        <v>196</v>
      </c>
      <c r="N4" s="62" t="s">
        <v>12</v>
      </c>
      <c r="O4" s="66" t="s">
        <v>183</v>
      </c>
      <c r="P4" s="5" t="s">
        <v>12</v>
      </c>
      <c r="Q4" s="5" t="s">
        <v>182</v>
      </c>
      <c r="R4" s="5" t="s">
        <v>27</v>
      </c>
      <c r="S4" s="62" t="s">
        <v>12</v>
      </c>
      <c r="T4" s="61" t="s">
        <v>29</v>
      </c>
      <c r="U4" s="61" t="s">
        <v>12</v>
      </c>
      <c r="V4" s="61" t="s">
        <v>12</v>
      </c>
      <c r="W4" s="61" t="s">
        <v>12</v>
      </c>
      <c r="X4" s="62" t="s">
        <v>29</v>
      </c>
      <c r="Y4" s="62" t="s">
        <v>12</v>
      </c>
      <c r="Z4" s="62" t="s">
        <v>12</v>
      </c>
      <c r="AA4" s="62" t="s">
        <v>12</v>
      </c>
      <c r="AB4" s="67" t="s">
        <v>175</v>
      </c>
      <c r="AC4" s="67" t="s">
        <v>15</v>
      </c>
      <c r="AD4" s="56">
        <v>1</v>
      </c>
      <c r="AE4" s="56" t="s">
        <v>135</v>
      </c>
      <c r="AF4" s="56"/>
      <c r="AG4" s="56" t="s">
        <v>130</v>
      </c>
      <c r="AH4" s="56" t="s">
        <v>195</v>
      </c>
      <c r="AI4" s="56" t="s">
        <v>11</v>
      </c>
      <c r="AJ4" s="56"/>
      <c r="AK4" s="68"/>
      <c r="AL4" s="68"/>
      <c r="AM4" s="56"/>
      <c r="AN4" s="56"/>
      <c r="AO4" s="56"/>
      <c r="AP4" s="56"/>
      <c r="AQ4" s="68"/>
      <c r="AR4" s="57"/>
      <c r="AS4" s="57"/>
      <c r="AT4" s="57"/>
      <c r="AU4" s="57"/>
      <c r="AV4" s="68"/>
      <c r="AW4" s="68"/>
      <c r="AX4" s="68"/>
      <c r="AY4" s="68"/>
      <c r="AZ4" s="67"/>
      <c r="BA4" s="63"/>
      <c r="BE4" s="3"/>
      <c r="BF4" s="3"/>
      <c r="BG4" s="3"/>
      <c r="BH4" s="3"/>
      <c r="BI4" s="3"/>
    </row>
    <row r="5" spans="1:61" ht="160.5" customHeight="1" x14ac:dyDescent="0.25">
      <c r="A5" s="75">
        <v>1</v>
      </c>
      <c r="B5" s="64">
        <f t="shared" ref="B5:B7" si="4">C5</f>
        <v>1</v>
      </c>
      <c r="C5" s="65">
        <f t="shared" ref="C5:C7" si="5">A5</f>
        <v>1</v>
      </c>
      <c r="D5" s="65" t="s">
        <v>22</v>
      </c>
      <c r="E5" s="5"/>
      <c r="F5" s="5">
        <v>4</v>
      </c>
      <c r="G5" s="5">
        <f t="shared" ref="G5:G7" si="6">G4+1</f>
        <v>4</v>
      </c>
      <c r="H5" s="5" t="s">
        <v>135</v>
      </c>
      <c r="I5" s="5" t="s">
        <v>179</v>
      </c>
      <c r="J5" s="79" t="s">
        <v>189</v>
      </c>
      <c r="K5" s="5" t="s">
        <v>11</v>
      </c>
      <c r="L5" s="5" t="s">
        <v>180</v>
      </c>
      <c r="M5" s="77" t="s">
        <v>196</v>
      </c>
      <c r="N5" s="62" t="s">
        <v>12</v>
      </c>
      <c r="O5" s="66" t="s">
        <v>188</v>
      </c>
      <c r="P5" s="5" t="s">
        <v>12</v>
      </c>
      <c r="Q5" s="5" t="s">
        <v>187</v>
      </c>
      <c r="R5" s="5" t="s">
        <v>27</v>
      </c>
      <c r="S5" s="62" t="s">
        <v>12</v>
      </c>
      <c r="T5" s="61" t="s">
        <v>29</v>
      </c>
      <c r="U5" s="61" t="s">
        <v>12</v>
      </c>
      <c r="V5" s="61" t="s">
        <v>12</v>
      </c>
      <c r="W5" s="61" t="s">
        <v>12</v>
      </c>
      <c r="X5" s="62" t="s">
        <v>29</v>
      </c>
      <c r="Y5" s="62" t="s">
        <v>12</v>
      </c>
      <c r="Z5" s="62" t="s">
        <v>12</v>
      </c>
      <c r="AA5" s="62" t="s">
        <v>12</v>
      </c>
      <c r="AB5" s="67" t="s">
        <v>175</v>
      </c>
      <c r="AC5" s="67" t="s">
        <v>15</v>
      </c>
      <c r="AD5" s="56">
        <v>1</v>
      </c>
      <c r="AE5" s="56" t="s">
        <v>135</v>
      </c>
      <c r="AF5" s="56"/>
      <c r="AG5" s="56" t="s">
        <v>130</v>
      </c>
      <c r="AH5" s="56" t="s">
        <v>195</v>
      </c>
      <c r="AI5" s="56" t="s">
        <v>11</v>
      </c>
      <c r="AJ5" s="56"/>
      <c r="AK5" s="68"/>
      <c r="AL5" s="68"/>
      <c r="AM5" s="56"/>
      <c r="AN5" s="56"/>
      <c r="AO5" s="56"/>
      <c r="AP5" s="56"/>
      <c r="AQ5" s="68"/>
      <c r="AR5" s="57"/>
      <c r="AS5" s="57"/>
      <c r="AT5" s="57"/>
      <c r="AU5" s="57"/>
      <c r="AV5" s="68"/>
      <c r="AW5" s="68"/>
      <c r="AX5" s="68"/>
      <c r="AY5" s="68"/>
      <c r="AZ5" s="67"/>
      <c r="BA5" s="63"/>
      <c r="BE5" s="3"/>
      <c r="BF5" s="3"/>
      <c r="BG5" s="3"/>
      <c r="BH5" s="3"/>
      <c r="BI5" s="3"/>
    </row>
    <row r="6" spans="1:61" ht="86.25" customHeight="1" x14ac:dyDescent="0.25">
      <c r="A6" s="75">
        <v>1</v>
      </c>
      <c r="B6" s="64">
        <f t="shared" si="4"/>
        <v>1</v>
      </c>
      <c r="C6" s="65">
        <f t="shared" si="5"/>
        <v>1</v>
      </c>
      <c r="D6" s="65" t="s">
        <v>22</v>
      </c>
      <c r="E6" s="5"/>
      <c r="F6" s="5">
        <v>5</v>
      </c>
      <c r="G6" s="5">
        <f t="shared" si="6"/>
        <v>5</v>
      </c>
      <c r="H6" s="5" t="s">
        <v>135</v>
      </c>
      <c r="I6" s="5" t="s">
        <v>179</v>
      </c>
      <c r="J6" s="79" t="s">
        <v>198</v>
      </c>
      <c r="K6" s="5" t="s">
        <v>11</v>
      </c>
      <c r="L6" s="5" t="s">
        <v>180</v>
      </c>
      <c r="M6" s="77" t="s">
        <v>196</v>
      </c>
      <c r="N6" s="62" t="s">
        <v>12</v>
      </c>
      <c r="O6" s="66" t="s">
        <v>184</v>
      </c>
      <c r="P6" s="5" t="s">
        <v>12</v>
      </c>
      <c r="Q6" s="5" t="s">
        <v>187</v>
      </c>
      <c r="R6" s="5" t="s">
        <v>27</v>
      </c>
      <c r="S6" s="62" t="s">
        <v>12</v>
      </c>
      <c r="T6" s="61" t="s">
        <v>29</v>
      </c>
      <c r="U6" s="61" t="s">
        <v>12</v>
      </c>
      <c r="V6" s="61" t="s">
        <v>12</v>
      </c>
      <c r="W6" s="61" t="s">
        <v>12</v>
      </c>
      <c r="X6" s="62" t="s">
        <v>29</v>
      </c>
      <c r="Y6" s="62" t="s">
        <v>12</v>
      </c>
      <c r="Z6" s="62" t="s">
        <v>12</v>
      </c>
      <c r="AA6" s="62" t="s">
        <v>12</v>
      </c>
      <c r="AB6" s="67" t="s">
        <v>175</v>
      </c>
      <c r="AC6" s="67" t="s">
        <v>15</v>
      </c>
      <c r="AD6" s="56">
        <v>1</v>
      </c>
      <c r="AE6" s="56" t="s">
        <v>135</v>
      </c>
      <c r="AF6" s="56"/>
      <c r="AG6" s="56" t="s">
        <v>130</v>
      </c>
      <c r="AH6" s="56" t="s">
        <v>195</v>
      </c>
      <c r="AI6" s="56" t="s">
        <v>11</v>
      </c>
      <c r="AJ6" s="56"/>
      <c r="AK6" s="68"/>
      <c r="AL6" s="68"/>
      <c r="AM6" s="56"/>
      <c r="AN6" s="56"/>
      <c r="AO6" s="56"/>
      <c r="AP6" s="56"/>
      <c r="AQ6" s="68"/>
      <c r="AR6" s="57"/>
      <c r="AS6" s="57"/>
      <c r="AT6" s="57"/>
      <c r="AU6" s="57"/>
      <c r="AV6" s="68"/>
      <c r="AW6" s="68"/>
      <c r="AX6" s="68"/>
      <c r="AY6" s="68"/>
      <c r="AZ6" s="67"/>
      <c r="BA6" s="63"/>
      <c r="BE6" s="3"/>
      <c r="BF6" s="3"/>
      <c r="BG6" s="3"/>
      <c r="BH6" s="3"/>
      <c r="BI6" s="3"/>
    </row>
    <row r="7" spans="1:61" ht="86.25" customHeight="1" x14ac:dyDescent="0.25">
      <c r="A7" s="75">
        <v>1</v>
      </c>
      <c r="B7" s="64">
        <f t="shared" si="4"/>
        <v>1</v>
      </c>
      <c r="C7" s="65">
        <f t="shared" si="5"/>
        <v>1</v>
      </c>
      <c r="D7" s="65" t="s">
        <v>22</v>
      </c>
      <c r="E7" s="5"/>
      <c r="F7" s="5">
        <v>6</v>
      </c>
      <c r="G7" s="5">
        <f t="shared" si="6"/>
        <v>6</v>
      </c>
      <c r="H7" s="5" t="s">
        <v>135</v>
      </c>
      <c r="I7" s="5" t="s">
        <v>179</v>
      </c>
      <c r="J7" s="79" t="s">
        <v>190</v>
      </c>
      <c r="K7" s="5" t="s">
        <v>11</v>
      </c>
      <c r="L7" s="5" t="s">
        <v>180</v>
      </c>
      <c r="M7" s="77" t="s">
        <v>196</v>
      </c>
      <c r="N7" s="62" t="s">
        <v>12</v>
      </c>
      <c r="O7" s="66" t="s">
        <v>185</v>
      </c>
      <c r="P7" s="5" t="s">
        <v>12</v>
      </c>
      <c r="Q7" s="5" t="s">
        <v>187</v>
      </c>
      <c r="R7" s="5" t="s">
        <v>27</v>
      </c>
      <c r="S7" s="62" t="s">
        <v>12</v>
      </c>
      <c r="T7" s="61" t="s">
        <v>29</v>
      </c>
      <c r="U7" s="61" t="s">
        <v>12</v>
      </c>
      <c r="V7" s="61" t="s">
        <v>12</v>
      </c>
      <c r="W7" s="61" t="s">
        <v>12</v>
      </c>
      <c r="X7" s="62" t="s">
        <v>29</v>
      </c>
      <c r="Y7" s="62" t="s">
        <v>12</v>
      </c>
      <c r="Z7" s="62" t="s">
        <v>12</v>
      </c>
      <c r="AA7" s="62" t="s">
        <v>12</v>
      </c>
      <c r="AB7" s="67" t="s">
        <v>175</v>
      </c>
      <c r="AC7" s="67" t="s">
        <v>15</v>
      </c>
      <c r="AD7" s="56">
        <v>1</v>
      </c>
      <c r="AE7" s="56" t="s">
        <v>135</v>
      </c>
      <c r="AF7" s="56"/>
      <c r="AG7" s="56" t="s">
        <v>130</v>
      </c>
      <c r="AH7" s="56" t="s">
        <v>195</v>
      </c>
      <c r="AI7" s="56" t="s">
        <v>11</v>
      </c>
      <c r="AJ7" s="56"/>
      <c r="AK7" s="68"/>
      <c r="AL7" s="68"/>
      <c r="AM7" s="56"/>
      <c r="AN7" s="56"/>
      <c r="AO7" s="56"/>
      <c r="AP7" s="56"/>
      <c r="AQ7" s="68"/>
      <c r="AR7" s="57"/>
      <c r="AS7" s="57"/>
      <c r="AT7" s="57"/>
      <c r="AU7" s="57"/>
      <c r="AV7" s="68"/>
      <c r="AW7" s="68"/>
      <c r="AX7" s="68"/>
      <c r="AY7" s="68"/>
      <c r="AZ7" s="67"/>
      <c r="BA7" s="63"/>
      <c r="BE7" s="3"/>
      <c r="BF7" s="3"/>
      <c r="BG7" s="3"/>
      <c r="BH7" s="3"/>
      <c r="BI7" s="3"/>
    </row>
    <row r="8" spans="1:61" ht="86.25" customHeight="1" x14ac:dyDescent="0.25">
      <c r="A8" s="75">
        <v>1</v>
      </c>
      <c r="B8" s="64">
        <f t="shared" ref="B8:B10" si="7">C8</f>
        <v>1</v>
      </c>
      <c r="C8" s="65">
        <f t="shared" ref="C8:C11" si="8">A8</f>
        <v>1</v>
      </c>
      <c r="D8" s="65" t="s">
        <v>22</v>
      </c>
      <c r="E8" s="5"/>
      <c r="F8" s="5">
        <v>7</v>
      </c>
      <c r="G8" s="5">
        <f t="shared" ref="G8:G10" si="9">G7+1</f>
        <v>7</v>
      </c>
      <c r="H8" s="5" t="s">
        <v>135</v>
      </c>
      <c r="I8" s="5" t="s">
        <v>179</v>
      </c>
      <c r="J8" s="79" t="s">
        <v>192</v>
      </c>
      <c r="K8" s="5" t="s">
        <v>11</v>
      </c>
      <c r="L8" s="5" t="s">
        <v>180</v>
      </c>
      <c r="M8" s="77" t="s">
        <v>196</v>
      </c>
      <c r="N8" s="62" t="s">
        <v>12</v>
      </c>
      <c r="O8" s="66" t="s">
        <v>188</v>
      </c>
      <c r="P8" s="5" t="s">
        <v>12</v>
      </c>
      <c r="Q8" s="5" t="s">
        <v>191</v>
      </c>
      <c r="R8" s="5" t="s">
        <v>27</v>
      </c>
      <c r="S8" s="62" t="s">
        <v>12</v>
      </c>
      <c r="T8" s="61" t="s">
        <v>29</v>
      </c>
      <c r="U8" s="61" t="s">
        <v>12</v>
      </c>
      <c r="V8" s="61" t="s">
        <v>12</v>
      </c>
      <c r="W8" s="61" t="s">
        <v>12</v>
      </c>
      <c r="X8" s="62" t="s">
        <v>29</v>
      </c>
      <c r="Y8" s="62" t="s">
        <v>12</v>
      </c>
      <c r="Z8" s="62" t="s">
        <v>12</v>
      </c>
      <c r="AA8" s="62" t="s">
        <v>12</v>
      </c>
      <c r="AB8" s="67" t="s">
        <v>175</v>
      </c>
      <c r="AC8" s="67" t="s">
        <v>15</v>
      </c>
      <c r="AD8" s="56">
        <v>1</v>
      </c>
      <c r="AE8" s="56" t="s">
        <v>135</v>
      </c>
      <c r="AF8" s="56"/>
      <c r="AG8" s="56" t="s">
        <v>130</v>
      </c>
      <c r="AH8" s="56" t="s">
        <v>195</v>
      </c>
      <c r="AI8" s="56" t="s">
        <v>11</v>
      </c>
      <c r="AJ8" s="56"/>
      <c r="AK8" s="68"/>
      <c r="AL8" s="68"/>
      <c r="AM8" s="56"/>
      <c r="AN8" s="56"/>
      <c r="AO8" s="56"/>
      <c r="AP8" s="56"/>
      <c r="AQ8" s="68"/>
      <c r="AR8" s="57"/>
      <c r="AS8" s="57"/>
      <c r="AT8" s="57"/>
      <c r="AU8" s="57"/>
      <c r="AV8" s="68"/>
      <c r="AW8" s="68"/>
      <c r="AX8" s="68"/>
      <c r="AY8" s="68"/>
      <c r="AZ8" s="67"/>
      <c r="BA8" s="63"/>
      <c r="BE8" s="3"/>
      <c r="BF8" s="3"/>
      <c r="BG8" s="3"/>
      <c r="BH8" s="3"/>
      <c r="BI8" s="3"/>
    </row>
    <row r="9" spans="1:61" ht="86.25" customHeight="1" x14ac:dyDescent="0.25">
      <c r="A9" s="75">
        <v>1</v>
      </c>
      <c r="B9" s="64">
        <f t="shared" si="7"/>
        <v>1</v>
      </c>
      <c r="C9" s="65">
        <f t="shared" si="8"/>
        <v>1</v>
      </c>
      <c r="D9" s="65" t="s">
        <v>22</v>
      </c>
      <c r="E9" s="5"/>
      <c r="F9" s="5">
        <v>8</v>
      </c>
      <c r="G9" s="5">
        <f t="shared" si="9"/>
        <v>8</v>
      </c>
      <c r="H9" s="5" t="s">
        <v>135</v>
      </c>
      <c r="I9" s="5" t="s">
        <v>179</v>
      </c>
      <c r="J9" s="79" t="s">
        <v>193</v>
      </c>
      <c r="K9" s="5" t="s">
        <v>11</v>
      </c>
      <c r="L9" s="5" t="s">
        <v>180</v>
      </c>
      <c r="M9" s="77" t="s">
        <v>196</v>
      </c>
      <c r="N9" s="62" t="s">
        <v>12</v>
      </c>
      <c r="O9" s="66" t="s">
        <v>194</v>
      </c>
      <c r="P9" s="5" t="s">
        <v>12</v>
      </c>
      <c r="Q9" s="5" t="s">
        <v>191</v>
      </c>
      <c r="R9" s="5" t="s">
        <v>27</v>
      </c>
      <c r="S9" s="62" t="s">
        <v>12</v>
      </c>
      <c r="T9" s="61" t="s">
        <v>29</v>
      </c>
      <c r="U9" s="61" t="s">
        <v>12</v>
      </c>
      <c r="V9" s="61" t="s">
        <v>12</v>
      </c>
      <c r="W9" s="61" t="s">
        <v>12</v>
      </c>
      <c r="X9" s="62" t="s">
        <v>29</v>
      </c>
      <c r="Y9" s="62" t="s">
        <v>12</v>
      </c>
      <c r="Z9" s="62" t="s">
        <v>12</v>
      </c>
      <c r="AA9" s="62" t="s">
        <v>12</v>
      </c>
      <c r="AB9" s="67" t="s">
        <v>175</v>
      </c>
      <c r="AC9" s="67" t="s">
        <v>15</v>
      </c>
      <c r="AD9" s="56">
        <v>1</v>
      </c>
      <c r="AE9" s="56" t="s">
        <v>135</v>
      </c>
      <c r="AF9" s="56"/>
      <c r="AG9" s="56" t="s">
        <v>130</v>
      </c>
      <c r="AH9" s="56" t="s">
        <v>195</v>
      </c>
      <c r="AI9" s="56" t="s">
        <v>11</v>
      </c>
      <c r="AJ9" s="56"/>
      <c r="AK9" s="68"/>
      <c r="AL9" s="68"/>
      <c r="AM9" s="56"/>
      <c r="AN9" s="56"/>
      <c r="AO9" s="56"/>
      <c r="AP9" s="56"/>
      <c r="AQ9" s="68"/>
      <c r="AR9" s="57"/>
      <c r="AS9" s="57"/>
      <c r="AT9" s="57"/>
      <c r="AU9" s="57"/>
      <c r="AV9" s="68"/>
      <c r="AW9" s="68"/>
      <c r="AX9" s="68"/>
      <c r="AY9" s="68"/>
      <c r="AZ9" s="67"/>
      <c r="BA9" s="63"/>
      <c r="BE9" s="3"/>
      <c r="BF9" s="3"/>
      <c r="BG9" s="3"/>
      <c r="BH9" s="3"/>
      <c r="BI9" s="3"/>
    </row>
    <row r="10" spans="1:61" ht="86.25" customHeight="1" x14ac:dyDescent="0.25">
      <c r="A10" s="75">
        <v>1</v>
      </c>
      <c r="B10" s="64">
        <f t="shared" si="7"/>
        <v>1</v>
      </c>
      <c r="C10" s="65">
        <f t="shared" si="8"/>
        <v>1</v>
      </c>
      <c r="D10" s="65" t="s">
        <v>22</v>
      </c>
      <c r="E10" s="5"/>
      <c r="F10" s="5">
        <v>9</v>
      </c>
      <c r="G10" s="5">
        <f t="shared" si="9"/>
        <v>9</v>
      </c>
      <c r="H10" s="5" t="s">
        <v>136</v>
      </c>
      <c r="I10" s="5" t="s">
        <v>179</v>
      </c>
      <c r="J10" s="119" t="s">
        <v>137</v>
      </c>
      <c r="K10" s="5" t="s">
        <v>11</v>
      </c>
      <c r="L10" s="5" t="s">
        <v>174</v>
      </c>
      <c r="M10" s="77" t="s">
        <v>30</v>
      </c>
      <c r="N10" s="62" t="s">
        <v>12</v>
      </c>
      <c r="O10" s="66" t="s">
        <v>178</v>
      </c>
      <c r="P10" s="5" t="s">
        <v>12</v>
      </c>
      <c r="Q10" s="5" t="s">
        <v>153</v>
      </c>
      <c r="R10" s="5" t="s">
        <v>27</v>
      </c>
      <c r="S10" s="62" t="s">
        <v>12</v>
      </c>
      <c r="T10" s="61" t="s">
        <v>29</v>
      </c>
      <c r="U10" s="61" t="s">
        <v>12</v>
      </c>
      <c r="V10" s="61" t="s">
        <v>12</v>
      </c>
      <c r="W10" s="61" t="s">
        <v>12</v>
      </c>
      <c r="X10" s="62" t="s">
        <v>29</v>
      </c>
      <c r="Y10" s="62" t="s">
        <v>12</v>
      </c>
      <c r="Z10" s="62" t="s">
        <v>12</v>
      </c>
      <c r="AA10" s="62" t="s">
        <v>12</v>
      </c>
      <c r="AB10" s="67" t="s">
        <v>175</v>
      </c>
      <c r="AC10" s="67" t="s">
        <v>15</v>
      </c>
      <c r="AD10" s="56">
        <v>1</v>
      </c>
      <c r="AE10" s="56" t="s">
        <v>135</v>
      </c>
      <c r="AF10" s="56"/>
      <c r="AG10" s="56" t="s">
        <v>130</v>
      </c>
      <c r="AH10" s="56" t="s">
        <v>195</v>
      </c>
      <c r="AI10" s="56" t="s">
        <v>11</v>
      </c>
      <c r="AJ10" s="56"/>
      <c r="AK10" s="68"/>
      <c r="AL10" s="68"/>
      <c r="AM10" s="56"/>
      <c r="AN10" s="56"/>
      <c r="AO10" s="56"/>
      <c r="AP10" s="56"/>
      <c r="AQ10" s="68"/>
      <c r="AR10" s="57"/>
      <c r="AS10" s="57"/>
      <c r="AT10" s="57"/>
      <c r="AU10" s="57"/>
      <c r="AV10" s="68"/>
      <c r="AW10" s="68"/>
      <c r="AX10" s="68"/>
      <c r="AY10" s="68"/>
      <c r="AZ10" s="67"/>
      <c r="BA10" s="63"/>
      <c r="BE10" s="3"/>
      <c r="BF10" s="3"/>
      <c r="BG10" s="3"/>
      <c r="BH10" s="3"/>
      <c r="BI10" s="3"/>
    </row>
    <row r="11" spans="1:61" ht="86.25" customHeight="1" thickBot="1" x14ac:dyDescent="0.3">
      <c r="A11" s="91">
        <v>1</v>
      </c>
      <c r="B11" s="92">
        <v>1</v>
      </c>
      <c r="C11" s="93">
        <f t="shared" si="8"/>
        <v>1</v>
      </c>
      <c r="D11" s="93" t="s">
        <v>22</v>
      </c>
      <c r="E11" s="94"/>
      <c r="F11" s="94">
        <v>10</v>
      </c>
      <c r="G11" s="94">
        <v>10</v>
      </c>
      <c r="H11" s="94" t="s">
        <v>136</v>
      </c>
      <c r="I11" s="94" t="s">
        <v>179</v>
      </c>
      <c r="J11" s="95" t="s">
        <v>202</v>
      </c>
      <c r="K11" s="94" t="s">
        <v>11</v>
      </c>
      <c r="L11" s="94" t="s">
        <v>180</v>
      </c>
      <c r="M11" s="96" t="s">
        <v>30</v>
      </c>
      <c r="N11" s="97" t="s">
        <v>12</v>
      </c>
      <c r="O11" s="98" t="s">
        <v>203</v>
      </c>
      <c r="P11" s="94" t="s">
        <v>12</v>
      </c>
      <c r="Q11" s="94" t="s">
        <v>204</v>
      </c>
      <c r="R11" s="94" t="s">
        <v>205</v>
      </c>
      <c r="S11" s="97" t="s">
        <v>12</v>
      </c>
      <c r="T11" s="99" t="s">
        <v>29</v>
      </c>
      <c r="U11" s="99" t="s">
        <v>12</v>
      </c>
      <c r="V11" s="99" t="s">
        <v>12</v>
      </c>
      <c r="W11" s="99" t="s">
        <v>12</v>
      </c>
      <c r="X11" s="97" t="s">
        <v>29</v>
      </c>
      <c r="Y11" s="97" t="s">
        <v>12</v>
      </c>
      <c r="Z11" s="97" t="s">
        <v>12</v>
      </c>
      <c r="AA11" s="97" t="s">
        <v>12</v>
      </c>
      <c r="AB11" s="100" t="s">
        <v>175</v>
      </c>
      <c r="AC11" s="100" t="s">
        <v>15</v>
      </c>
      <c r="AD11" s="101">
        <v>1</v>
      </c>
      <c r="AE11" s="101" t="s">
        <v>135</v>
      </c>
      <c r="AF11" s="101"/>
      <c r="AG11" s="101" t="s">
        <v>130</v>
      </c>
      <c r="AH11" s="101" t="s">
        <v>195</v>
      </c>
      <c r="AI11" s="101" t="s">
        <v>11</v>
      </c>
      <c r="AJ11" s="101"/>
      <c r="AK11" s="102"/>
      <c r="AL11" s="102"/>
      <c r="AM11" s="101"/>
      <c r="AN11" s="101"/>
      <c r="AO11" s="101"/>
      <c r="AP11" s="101"/>
      <c r="AQ11" s="102"/>
      <c r="AR11" s="103"/>
      <c r="AS11" s="103"/>
      <c r="AT11" s="103"/>
      <c r="AU11" s="103"/>
      <c r="AV11" s="102"/>
      <c r="AW11" s="102"/>
      <c r="AX11" s="102"/>
      <c r="AY11" s="102"/>
      <c r="AZ11" s="100"/>
      <c r="BA11" s="104"/>
      <c r="BE11" s="3"/>
      <c r="BF11" s="3"/>
      <c r="BG11" s="3"/>
      <c r="BH11" s="3"/>
      <c r="BI11" s="3"/>
    </row>
    <row r="12" spans="1:61" ht="150" x14ac:dyDescent="0.25">
      <c r="A12" s="69">
        <f t="shared" ref="A12" si="10">AD12</f>
        <v>2</v>
      </c>
      <c r="B12" s="70">
        <v>1</v>
      </c>
      <c r="C12" s="71">
        <f t="shared" ref="C12:C13" si="11">A12</f>
        <v>2</v>
      </c>
      <c r="D12" s="71" t="s">
        <v>22</v>
      </c>
      <c r="E12" s="4"/>
      <c r="F12" s="4">
        <v>1</v>
      </c>
      <c r="G12" s="4">
        <v>11</v>
      </c>
      <c r="H12" s="4" t="s">
        <v>135</v>
      </c>
      <c r="I12" s="4" t="s">
        <v>179</v>
      </c>
      <c r="J12" s="78" t="s">
        <v>197</v>
      </c>
      <c r="K12" s="4" t="s">
        <v>11</v>
      </c>
      <c r="L12" s="4" t="s">
        <v>180</v>
      </c>
      <c r="M12" s="90" t="s">
        <v>196</v>
      </c>
      <c r="N12" s="31" t="s">
        <v>12</v>
      </c>
      <c r="O12" s="72" t="s">
        <v>184</v>
      </c>
      <c r="P12" s="4" t="s">
        <v>12</v>
      </c>
      <c r="Q12" s="4" t="s">
        <v>182</v>
      </c>
      <c r="R12" s="4" t="s">
        <v>27</v>
      </c>
      <c r="S12" s="31" t="s">
        <v>12</v>
      </c>
      <c r="T12" s="32" t="s">
        <v>29</v>
      </c>
      <c r="U12" s="32" t="s">
        <v>12</v>
      </c>
      <c r="V12" s="32" t="s">
        <v>12</v>
      </c>
      <c r="W12" s="32" t="s">
        <v>12</v>
      </c>
      <c r="X12" s="31" t="s">
        <v>29</v>
      </c>
      <c r="Y12" s="31" t="s">
        <v>12</v>
      </c>
      <c r="Z12" s="31" t="s">
        <v>12</v>
      </c>
      <c r="AA12" s="31" t="s">
        <v>12</v>
      </c>
      <c r="AB12" s="73" t="s">
        <v>175</v>
      </c>
      <c r="AC12" s="73" t="s">
        <v>15</v>
      </c>
      <c r="AD12" s="6">
        <v>2</v>
      </c>
      <c r="AE12" s="6" t="s">
        <v>136</v>
      </c>
      <c r="AF12" s="6" t="s">
        <v>132</v>
      </c>
      <c r="AG12" s="6" t="s">
        <v>130</v>
      </c>
      <c r="AH12" s="6" t="s">
        <v>201</v>
      </c>
      <c r="AI12" s="6" t="s">
        <v>11</v>
      </c>
      <c r="AJ12" s="6" t="s">
        <v>174</v>
      </c>
      <c r="AK12" s="74" t="s">
        <v>30</v>
      </c>
      <c r="AL12" s="74" t="s">
        <v>12</v>
      </c>
      <c r="AM12" s="72" t="s">
        <v>177</v>
      </c>
      <c r="AN12" s="6" t="s">
        <v>199</v>
      </c>
      <c r="AO12" s="6" t="s">
        <v>200</v>
      </c>
      <c r="AP12" s="6" t="s">
        <v>27</v>
      </c>
      <c r="AQ12" s="74" t="s">
        <v>12</v>
      </c>
      <c r="AR12" s="49" t="s">
        <v>29</v>
      </c>
      <c r="AS12" s="49" t="s">
        <v>12</v>
      </c>
      <c r="AT12" s="49" t="s">
        <v>12</v>
      </c>
      <c r="AU12" s="49" t="s">
        <v>12</v>
      </c>
      <c r="AV12" s="74" t="s">
        <v>29</v>
      </c>
      <c r="AW12" s="74" t="s">
        <v>12</v>
      </c>
      <c r="AX12" s="74" t="s">
        <v>12</v>
      </c>
      <c r="AY12" s="74" t="s">
        <v>12</v>
      </c>
      <c r="AZ12" s="73" t="s">
        <v>175</v>
      </c>
      <c r="BA12" s="60" t="s">
        <v>15</v>
      </c>
    </row>
    <row r="13" spans="1:61" ht="45" x14ac:dyDescent="0.25">
      <c r="A13" s="75">
        <v>2</v>
      </c>
      <c r="B13" s="64">
        <v>1</v>
      </c>
      <c r="C13" s="65">
        <f t="shared" si="11"/>
        <v>2</v>
      </c>
      <c r="D13" s="65" t="s">
        <v>22</v>
      </c>
      <c r="E13" s="5"/>
      <c r="F13" s="5">
        <v>2</v>
      </c>
      <c r="G13" s="5">
        <f>G12+1</f>
        <v>12</v>
      </c>
      <c r="H13" s="5" t="s">
        <v>135</v>
      </c>
      <c r="I13" s="5" t="s">
        <v>179</v>
      </c>
      <c r="J13" s="79" t="s">
        <v>186</v>
      </c>
      <c r="K13" s="5" t="s">
        <v>11</v>
      </c>
      <c r="L13" s="5" t="s">
        <v>180</v>
      </c>
      <c r="M13" s="77" t="s">
        <v>196</v>
      </c>
      <c r="N13" s="62" t="s">
        <v>12</v>
      </c>
      <c r="O13" s="66" t="s">
        <v>185</v>
      </c>
      <c r="P13" s="5" t="s">
        <v>12</v>
      </c>
      <c r="Q13" s="5" t="s">
        <v>182</v>
      </c>
      <c r="R13" s="5" t="s">
        <v>27</v>
      </c>
      <c r="S13" s="62" t="s">
        <v>12</v>
      </c>
      <c r="T13" s="61" t="s">
        <v>29</v>
      </c>
      <c r="U13" s="61" t="s">
        <v>12</v>
      </c>
      <c r="V13" s="61" t="s">
        <v>12</v>
      </c>
      <c r="W13" s="61" t="s">
        <v>12</v>
      </c>
      <c r="X13" s="62" t="s">
        <v>29</v>
      </c>
      <c r="Y13" s="62" t="s">
        <v>12</v>
      </c>
      <c r="Z13" s="62" t="s">
        <v>12</v>
      </c>
      <c r="AA13" s="62" t="s">
        <v>12</v>
      </c>
      <c r="AB13" s="67" t="s">
        <v>175</v>
      </c>
      <c r="AC13" s="67" t="s">
        <v>15</v>
      </c>
      <c r="AD13" s="56">
        <v>2</v>
      </c>
      <c r="AE13" s="56" t="s">
        <v>136</v>
      </c>
      <c r="AF13" s="56"/>
      <c r="AG13" s="56" t="s">
        <v>130</v>
      </c>
      <c r="AH13" s="56" t="s">
        <v>201</v>
      </c>
      <c r="AI13" s="56" t="s">
        <v>11</v>
      </c>
      <c r="AJ13" s="56"/>
      <c r="AK13" s="68"/>
      <c r="AL13" s="68"/>
      <c r="AM13" s="56"/>
      <c r="AN13" s="56"/>
      <c r="AO13" s="56"/>
      <c r="AP13" s="56"/>
      <c r="AQ13" s="68"/>
      <c r="AR13" s="57"/>
      <c r="AS13" s="57"/>
      <c r="AT13" s="57"/>
      <c r="AU13" s="57"/>
      <c r="AV13" s="68"/>
      <c r="AW13" s="68"/>
      <c r="AX13" s="68"/>
      <c r="AY13" s="68"/>
      <c r="AZ13" s="67"/>
      <c r="BA13" s="63"/>
    </row>
    <row r="14" spans="1:61" ht="30" x14ac:dyDescent="0.25">
      <c r="A14" s="75">
        <f t="shared" ref="A14:A21" si="12">AD14</f>
        <v>2</v>
      </c>
      <c r="B14" s="64">
        <v>1</v>
      </c>
      <c r="C14" s="65">
        <f t="shared" ref="C14:C21" si="13">A14</f>
        <v>2</v>
      </c>
      <c r="D14" s="65" t="s">
        <v>22</v>
      </c>
      <c r="E14" s="5"/>
      <c r="F14" s="5">
        <v>3</v>
      </c>
      <c r="G14" s="5">
        <f>G13+1</f>
        <v>13</v>
      </c>
      <c r="H14" s="5" t="s">
        <v>135</v>
      </c>
      <c r="I14" s="5" t="s">
        <v>179</v>
      </c>
      <c r="J14" s="79" t="s">
        <v>181</v>
      </c>
      <c r="K14" s="5" t="s">
        <v>11</v>
      </c>
      <c r="L14" s="5" t="s">
        <v>180</v>
      </c>
      <c r="M14" s="77" t="s">
        <v>196</v>
      </c>
      <c r="N14" s="62" t="s">
        <v>12</v>
      </c>
      <c r="O14" s="66" t="s">
        <v>183</v>
      </c>
      <c r="P14" s="5" t="s">
        <v>12</v>
      </c>
      <c r="Q14" s="5" t="s">
        <v>182</v>
      </c>
      <c r="R14" s="5" t="s">
        <v>27</v>
      </c>
      <c r="S14" s="62" t="s">
        <v>12</v>
      </c>
      <c r="T14" s="61" t="s">
        <v>29</v>
      </c>
      <c r="U14" s="61" t="s">
        <v>12</v>
      </c>
      <c r="V14" s="61" t="s">
        <v>12</v>
      </c>
      <c r="W14" s="61" t="s">
        <v>12</v>
      </c>
      <c r="X14" s="62" t="s">
        <v>29</v>
      </c>
      <c r="Y14" s="62" t="s">
        <v>12</v>
      </c>
      <c r="Z14" s="62" t="s">
        <v>12</v>
      </c>
      <c r="AA14" s="62" t="s">
        <v>12</v>
      </c>
      <c r="AB14" s="67" t="s">
        <v>175</v>
      </c>
      <c r="AC14" s="67" t="s">
        <v>15</v>
      </c>
      <c r="AD14" s="56">
        <v>2</v>
      </c>
      <c r="AE14" s="56" t="s">
        <v>136</v>
      </c>
      <c r="AF14" s="56"/>
      <c r="AG14" s="56" t="s">
        <v>130</v>
      </c>
      <c r="AH14" s="56" t="s">
        <v>201</v>
      </c>
      <c r="AI14" s="56" t="s">
        <v>11</v>
      </c>
      <c r="AJ14" s="56"/>
      <c r="AK14" s="68"/>
      <c r="AL14" s="68"/>
      <c r="AM14" s="56"/>
      <c r="AN14" s="56"/>
      <c r="AO14" s="56"/>
      <c r="AP14" s="56"/>
      <c r="AQ14" s="68"/>
      <c r="AR14" s="57"/>
      <c r="AS14" s="57"/>
      <c r="AT14" s="57"/>
      <c r="AU14" s="57"/>
      <c r="AV14" s="68"/>
      <c r="AW14" s="68"/>
      <c r="AX14" s="68"/>
      <c r="AY14" s="68"/>
      <c r="AZ14" s="67"/>
      <c r="BA14" s="63"/>
    </row>
    <row r="15" spans="1:61" ht="45" x14ac:dyDescent="0.25">
      <c r="A15" s="75">
        <v>2</v>
      </c>
      <c r="B15" s="64">
        <v>1</v>
      </c>
      <c r="C15" s="65">
        <f t="shared" si="13"/>
        <v>2</v>
      </c>
      <c r="D15" s="65" t="s">
        <v>22</v>
      </c>
      <c r="E15" s="5"/>
      <c r="F15" s="5">
        <v>4</v>
      </c>
      <c r="G15" s="5">
        <f t="shared" ref="G15:G20" si="14">G14+1</f>
        <v>14</v>
      </c>
      <c r="H15" s="5" t="s">
        <v>135</v>
      </c>
      <c r="I15" s="5" t="s">
        <v>179</v>
      </c>
      <c r="J15" s="79" t="s">
        <v>189</v>
      </c>
      <c r="K15" s="5" t="s">
        <v>11</v>
      </c>
      <c r="L15" s="5" t="s">
        <v>180</v>
      </c>
      <c r="M15" s="77" t="s">
        <v>196</v>
      </c>
      <c r="N15" s="62" t="s">
        <v>12</v>
      </c>
      <c r="O15" s="66" t="s">
        <v>188</v>
      </c>
      <c r="P15" s="5" t="s">
        <v>12</v>
      </c>
      <c r="Q15" s="5" t="s">
        <v>187</v>
      </c>
      <c r="R15" s="5" t="s">
        <v>27</v>
      </c>
      <c r="S15" s="62" t="s">
        <v>12</v>
      </c>
      <c r="T15" s="61" t="s">
        <v>29</v>
      </c>
      <c r="U15" s="61" t="s">
        <v>12</v>
      </c>
      <c r="V15" s="61" t="s">
        <v>12</v>
      </c>
      <c r="W15" s="61" t="s">
        <v>12</v>
      </c>
      <c r="X15" s="62" t="s">
        <v>29</v>
      </c>
      <c r="Y15" s="62" t="s">
        <v>12</v>
      </c>
      <c r="Z15" s="62" t="s">
        <v>12</v>
      </c>
      <c r="AA15" s="62" t="s">
        <v>12</v>
      </c>
      <c r="AB15" s="67" t="s">
        <v>175</v>
      </c>
      <c r="AC15" s="67" t="s">
        <v>15</v>
      </c>
      <c r="AD15" s="56">
        <v>2</v>
      </c>
      <c r="AE15" s="56" t="s">
        <v>136</v>
      </c>
      <c r="AF15" s="56"/>
      <c r="AG15" s="56" t="s">
        <v>130</v>
      </c>
      <c r="AH15" s="56" t="s">
        <v>201</v>
      </c>
      <c r="AI15" s="56" t="s">
        <v>11</v>
      </c>
      <c r="AJ15" s="56"/>
      <c r="AK15" s="68"/>
      <c r="AL15" s="68"/>
      <c r="AM15" s="56"/>
      <c r="AN15" s="56"/>
      <c r="AO15" s="56"/>
      <c r="AP15" s="56"/>
      <c r="AQ15" s="68"/>
      <c r="AR15" s="57"/>
      <c r="AS15" s="57"/>
      <c r="AT15" s="57"/>
      <c r="AU15" s="57"/>
      <c r="AV15" s="68"/>
      <c r="AW15" s="68"/>
      <c r="AX15" s="68"/>
      <c r="AY15" s="68"/>
      <c r="AZ15" s="67"/>
      <c r="BA15" s="63"/>
    </row>
    <row r="16" spans="1:61" ht="30" x14ac:dyDescent="0.25">
      <c r="A16" s="75">
        <f t="shared" ref="A16:A21" si="15">AD16</f>
        <v>2</v>
      </c>
      <c r="B16" s="64">
        <v>1</v>
      </c>
      <c r="C16" s="65">
        <f t="shared" si="13"/>
        <v>2</v>
      </c>
      <c r="D16" s="65" t="s">
        <v>22</v>
      </c>
      <c r="E16" s="5"/>
      <c r="F16" s="5">
        <v>5</v>
      </c>
      <c r="G16" s="5">
        <f t="shared" si="14"/>
        <v>15</v>
      </c>
      <c r="H16" s="5" t="s">
        <v>135</v>
      </c>
      <c r="I16" s="5" t="s">
        <v>179</v>
      </c>
      <c r="J16" s="79" t="s">
        <v>198</v>
      </c>
      <c r="K16" s="5" t="s">
        <v>11</v>
      </c>
      <c r="L16" s="5" t="s">
        <v>180</v>
      </c>
      <c r="M16" s="77" t="s">
        <v>196</v>
      </c>
      <c r="N16" s="62" t="s">
        <v>12</v>
      </c>
      <c r="O16" s="66" t="s">
        <v>184</v>
      </c>
      <c r="P16" s="5" t="s">
        <v>12</v>
      </c>
      <c r="Q16" s="5" t="s">
        <v>187</v>
      </c>
      <c r="R16" s="5" t="s">
        <v>27</v>
      </c>
      <c r="S16" s="62" t="s">
        <v>12</v>
      </c>
      <c r="T16" s="61" t="s">
        <v>29</v>
      </c>
      <c r="U16" s="61" t="s">
        <v>12</v>
      </c>
      <c r="V16" s="61" t="s">
        <v>12</v>
      </c>
      <c r="W16" s="61" t="s">
        <v>12</v>
      </c>
      <c r="X16" s="62" t="s">
        <v>29</v>
      </c>
      <c r="Y16" s="62" t="s">
        <v>12</v>
      </c>
      <c r="Z16" s="62" t="s">
        <v>12</v>
      </c>
      <c r="AA16" s="62" t="s">
        <v>12</v>
      </c>
      <c r="AB16" s="67" t="s">
        <v>175</v>
      </c>
      <c r="AC16" s="67" t="s">
        <v>15</v>
      </c>
      <c r="AD16" s="56">
        <v>2</v>
      </c>
      <c r="AE16" s="56" t="s">
        <v>136</v>
      </c>
      <c r="AF16" s="56"/>
      <c r="AG16" s="56" t="s">
        <v>130</v>
      </c>
      <c r="AH16" s="56" t="s">
        <v>201</v>
      </c>
      <c r="AI16" s="56" t="s">
        <v>11</v>
      </c>
      <c r="AJ16" s="56"/>
      <c r="AK16" s="68"/>
      <c r="AL16" s="68"/>
      <c r="AM16" s="56"/>
      <c r="AN16" s="56"/>
      <c r="AO16" s="56"/>
      <c r="AP16" s="56"/>
      <c r="AQ16" s="68"/>
      <c r="AR16" s="57"/>
      <c r="AS16" s="57"/>
      <c r="AT16" s="57"/>
      <c r="AU16" s="57"/>
      <c r="AV16" s="68"/>
      <c r="AW16" s="68"/>
      <c r="AX16" s="68"/>
      <c r="AY16" s="68"/>
      <c r="AZ16" s="67"/>
      <c r="BA16" s="63"/>
    </row>
    <row r="17" spans="1:53" ht="45" x14ac:dyDescent="0.25">
      <c r="A17" s="75">
        <v>2</v>
      </c>
      <c r="B17" s="64">
        <v>1</v>
      </c>
      <c r="C17" s="65">
        <f t="shared" si="13"/>
        <v>2</v>
      </c>
      <c r="D17" s="65" t="s">
        <v>22</v>
      </c>
      <c r="E17" s="5"/>
      <c r="F17" s="5">
        <v>6</v>
      </c>
      <c r="G17" s="5">
        <f t="shared" si="14"/>
        <v>16</v>
      </c>
      <c r="H17" s="5" t="s">
        <v>135</v>
      </c>
      <c r="I17" s="5" t="s">
        <v>179</v>
      </c>
      <c r="J17" s="79" t="s">
        <v>190</v>
      </c>
      <c r="K17" s="5" t="s">
        <v>11</v>
      </c>
      <c r="L17" s="5" t="s">
        <v>180</v>
      </c>
      <c r="M17" s="77" t="s">
        <v>196</v>
      </c>
      <c r="N17" s="62" t="s">
        <v>12</v>
      </c>
      <c r="O17" s="66" t="s">
        <v>185</v>
      </c>
      <c r="P17" s="5" t="s">
        <v>12</v>
      </c>
      <c r="Q17" s="5" t="s">
        <v>187</v>
      </c>
      <c r="R17" s="5" t="s">
        <v>27</v>
      </c>
      <c r="S17" s="62" t="s">
        <v>12</v>
      </c>
      <c r="T17" s="61" t="s">
        <v>29</v>
      </c>
      <c r="U17" s="61" t="s">
        <v>12</v>
      </c>
      <c r="V17" s="61" t="s">
        <v>12</v>
      </c>
      <c r="W17" s="61" t="s">
        <v>12</v>
      </c>
      <c r="X17" s="62" t="s">
        <v>29</v>
      </c>
      <c r="Y17" s="62" t="s">
        <v>12</v>
      </c>
      <c r="Z17" s="62" t="s">
        <v>12</v>
      </c>
      <c r="AA17" s="62" t="s">
        <v>12</v>
      </c>
      <c r="AB17" s="67" t="s">
        <v>175</v>
      </c>
      <c r="AC17" s="67" t="s">
        <v>15</v>
      </c>
      <c r="AD17" s="56">
        <v>2</v>
      </c>
      <c r="AE17" s="56" t="s">
        <v>136</v>
      </c>
      <c r="AF17" s="56"/>
      <c r="AG17" s="56" t="s">
        <v>130</v>
      </c>
      <c r="AH17" s="56" t="s">
        <v>201</v>
      </c>
      <c r="AI17" s="56" t="s">
        <v>11</v>
      </c>
      <c r="AJ17" s="56"/>
      <c r="AK17" s="68"/>
      <c r="AL17" s="68"/>
      <c r="AM17" s="56"/>
      <c r="AN17" s="56"/>
      <c r="AO17" s="56"/>
      <c r="AP17" s="56"/>
      <c r="AQ17" s="68"/>
      <c r="AR17" s="57"/>
      <c r="AS17" s="57"/>
      <c r="AT17" s="57"/>
      <c r="AU17" s="57"/>
      <c r="AV17" s="68"/>
      <c r="AW17" s="68"/>
      <c r="AX17" s="68"/>
      <c r="AY17" s="68"/>
      <c r="AZ17" s="67"/>
      <c r="BA17" s="63"/>
    </row>
    <row r="18" spans="1:53" ht="45" x14ac:dyDescent="0.25">
      <c r="A18" s="75">
        <f t="shared" ref="A18:A21" si="16">AD18</f>
        <v>2</v>
      </c>
      <c r="B18" s="64">
        <v>1</v>
      </c>
      <c r="C18" s="65">
        <f t="shared" si="13"/>
        <v>2</v>
      </c>
      <c r="D18" s="65" t="s">
        <v>22</v>
      </c>
      <c r="E18" s="5"/>
      <c r="F18" s="5">
        <v>7</v>
      </c>
      <c r="G18" s="5">
        <f t="shared" si="14"/>
        <v>17</v>
      </c>
      <c r="H18" s="5" t="s">
        <v>135</v>
      </c>
      <c r="I18" s="5" t="s">
        <v>179</v>
      </c>
      <c r="J18" s="79" t="s">
        <v>192</v>
      </c>
      <c r="K18" s="5" t="s">
        <v>11</v>
      </c>
      <c r="L18" s="5" t="s">
        <v>180</v>
      </c>
      <c r="M18" s="77" t="s">
        <v>196</v>
      </c>
      <c r="N18" s="62" t="s">
        <v>12</v>
      </c>
      <c r="O18" s="66" t="s">
        <v>188</v>
      </c>
      <c r="P18" s="5" t="s">
        <v>12</v>
      </c>
      <c r="Q18" s="5" t="s">
        <v>191</v>
      </c>
      <c r="R18" s="5" t="s">
        <v>27</v>
      </c>
      <c r="S18" s="62" t="s">
        <v>12</v>
      </c>
      <c r="T18" s="61" t="s">
        <v>29</v>
      </c>
      <c r="U18" s="61" t="s">
        <v>12</v>
      </c>
      <c r="V18" s="61" t="s">
        <v>12</v>
      </c>
      <c r="W18" s="61" t="s">
        <v>12</v>
      </c>
      <c r="X18" s="62" t="s">
        <v>29</v>
      </c>
      <c r="Y18" s="62" t="s">
        <v>12</v>
      </c>
      <c r="Z18" s="62" t="s">
        <v>12</v>
      </c>
      <c r="AA18" s="62" t="s">
        <v>12</v>
      </c>
      <c r="AB18" s="67" t="s">
        <v>175</v>
      </c>
      <c r="AC18" s="67" t="s">
        <v>15</v>
      </c>
      <c r="AD18" s="56">
        <v>2</v>
      </c>
      <c r="AE18" s="56" t="s">
        <v>136</v>
      </c>
      <c r="AF18" s="56"/>
      <c r="AG18" s="56" t="s">
        <v>130</v>
      </c>
      <c r="AH18" s="56" t="s">
        <v>201</v>
      </c>
      <c r="AI18" s="56" t="s">
        <v>11</v>
      </c>
      <c r="AJ18" s="56"/>
      <c r="AK18" s="68"/>
      <c r="AL18" s="68"/>
      <c r="AM18" s="56"/>
      <c r="AN18" s="56"/>
      <c r="AO18" s="56"/>
      <c r="AP18" s="56"/>
      <c r="AQ18" s="68"/>
      <c r="AR18" s="57"/>
      <c r="AS18" s="57"/>
      <c r="AT18" s="57"/>
      <c r="AU18" s="57"/>
      <c r="AV18" s="68"/>
      <c r="AW18" s="68"/>
      <c r="AX18" s="68"/>
      <c r="AY18" s="68"/>
      <c r="AZ18" s="67"/>
      <c r="BA18" s="63"/>
    </row>
    <row r="19" spans="1:53" ht="30" x14ac:dyDescent="0.25">
      <c r="A19" s="75">
        <v>2</v>
      </c>
      <c r="B19" s="64">
        <v>1</v>
      </c>
      <c r="C19" s="65">
        <f t="shared" si="13"/>
        <v>2</v>
      </c>
      <c r="D19" s="65" t="s">
        <v>22</v>
      </c>
      <c r="E19" s="5"/>
      <c r="F19" s="5">
        <v>8</v>
      </c>
      <c r="G19" s="5">
        <f t="shared" si="14"/>
        <v>18</v>
      </c>
      <c r="H19" s="5" t="s">
        <v>135</v>
      </c>
      <c r="I19" s="5" t="s">
        <v>179</v>
      </c>
      <c r="J19" s="79" t="s">
        <v>193</v>
      </c>
      <c r="K19" s="5" t="s">
        <v>11</v>
      </c>
      <c r="L19" s="5" t="s">
        <v>180</v>
      </c>
      <c r="M19" s="77" t="s">
        <v>196</v>
      </c>
      <c r="N19" s="62" t="s">
        <v>12</v>
      </c>
      <c r="O19" s="66" t="s">
        <v>194</v>
      </c>
      <c r="P19" s="5" t="s">
        <v>12</v>
      </c>
      <c r="Q19" s="5" t="s">
        <v>191</v>
      </c>
      <c r="R19" s="5" t="s">
        <v>27</v>
      </c>
      <c r="S19" s="62" t="s">
        <v>12</v>
      </c>
      <c r="T19" s="61" t="s">
        <v>29</v>
      </c>
      <c r="U19" s="61" t="s">
        <v>12</v>
      </c>
      <c r="V19" s="61" t="s">
        <v>12</v>
      </c>
      <c r="W19" s="61" t="s">
        <v>12</v>
      </c>
      <c r="X19" s="62" t="s">
        <v>29</v>
      </c>
      <c r="Y19" s="62" t="s">
        <v>12</v>
      </c>
      <c r="Z19" s="62" t="s">
        <v>12</v>
      </c>
      <c r="AA19" s="62" t="s">
        <v>12</v>
      </c>
      <c r="AB19" s="67" t="s">
        <v>175</v>
      </c>
      <c r="AC19" s="67" t="s">
        <v>15</v>
      </c>
      <c r="AD19" s="56">
        <v>2</v>
      </c>
      <c r="AE19" s="56" t="s">
        <v>136</v>
      </c>
      <c r="AF19" s="56"/>
      <c r="AG19" s="56" t="s">
        <v>130</v>
      </c>
      <c r="AH19" s="56" t="s">
        <v>201</v>
      </c>
      <c r="AI19" s="56" t="s">
        <v>11</v>
      </c>
      <c r="AJ19" s="56"/>
      <c r="AK19" s="68"/>
      <c r="AL19" s="68"/>
      <c r="AM19" s="56"/>
      <c r="AN19" s="56"/>
      <c r="AO19" s="56"/>
      <c r="AP19" s="56"/>
      <c r="AQ19" s="68"/>
      <c r="AR19" s="57"/>
      <c r="AS19" s="57"/>
      <c r="AT19" s="57"/>
      <c r="AU19" s="57"/>
      <c r="AV19" s="68"/>
      <c r="AW19" s="68"/>
      <c r="AX19" s="68"/>
      <c r="AY19" s="68"/>
      <c r="AZ19" s="67"/>
      <c r="BA19" s="63"/>
    </row>
    <row r="20" spans="1:53" ht="30" x14ac:dyDescent="0.25">
      <c r="A20" s="75">
        <f t="shared" ref="A20:A21" si="17">AD20</f>
        <v>2</v>
      </c>
      <c r="B20" s="64">
        <v>1</v>
      </c>
      <c r="C20" s="65">
        <f t="shared" si="13"/>
        <v>2</v>
      </c>
      <c r="D20" s="65" t="s">
        <v>22</v>
      </c>
      <c r="E20" s="5"/>
      <c r="F20" s="5">
        <v>9</v>
      </c>
      <c r="G20" s="5">
        <f t="shared" si="14"/>
        <v>19</v>
      </c>
      <c r="H20" s="5" t="s">
        <v>136</v>
      </c>
      <c r="I20" s="5" t="s">
        <v>179</v>
      </c>
      <c r="J20" s="119" t="s">
        <v>137</v>
      </c>
      <c r="K20" s="5" t="s">
        <v>11</v>
      </c>
      <c r="L20" s="5" t="s">
        <v>174</v>
      </c>
      <c r="M20" s="77" t="s">
        <v>30</v>
      </c>
      <c r="N20" s="62" t="s">
        <v>12</v>
      </c>
      <c r="O20" s="66" t="s">
        <v>178</v>
      </c>
      <c r="P20" s="5" t="s">
        <v>12</v>
      </c>
      <c r="Q20" s="5" t="s">
        <v>153</v>
      </c>
      <c r="R20" s="5" t="s">
        <v>27</v>
      </c>
      <c r="S20" s="62" t="s">
        <v>12</v>
      </c>
      <c r="T20" s="61" t="s">
        <v>29</v>
      </c>
      <c r="U20" s="61" t="s">
        <v>12</v>
      </c>
      <c r="V20" s="61" t="s">
        <v>12</v>
      </c>
      <c r="W20" s="61" t="s">
        <v>12</v>
      </c>
      <c r="X20" s="62" t="s">
        <v>29</v>
      </c>
      <c r="Y20" s="62" t="s">
        <v>12</v>
      </c>
      <c r="Z20" s="62" t="s">
        <v>12</v>
      </c>
      <c r="AA20" s="62" t="s">
        <v>12</v>
      </c>
      <c r="AB20" s="67" t="s">
        <v>175</v>
      </c>
      <c r="AC20" s="67" t="s">
        <v>15</v>
      </c>
      <c r="AD20" s="56">
        <v>2</v>
      </c>
      <c r="AE20" s="56" t="s">
        <v>136</v>
      </c>
      <c r="AF20" s="56"/>
      <c r="AG20" s="56" t="s">
        <v>130</v>
      </c>
      <c r="AH20" s="56" t="s">
        <v>201</v>
      </c>
      <c r="AI20" s="56" t="s">
        <v>11</v>
      </c>
      <c r="AJ20" s="56"/>
      <c r="AK20" s="68"/>
      <c r="AL20" s="68"/>
      <c r="AM20" s="56"/>
      <c r="AN20" s="56"/>
      <c r="AO20" s="56"/>
      <c r="AP20" s="56"/>
      <c r="AQ20" s="68"/>
      <c r="AR20" s="57"/>
      <c r="AS20" s="57"/>
      <c r="AT20" s="57"/>
      <c r="AU20" s="57"/>
      <c r="AV20" s="68"/>
      <c r="AW20" s="68"/>
      <c r="AX20" s="68"/>
      <c r="AY20" s="68"/>
      <c r="AZ20" s="67"/>
      <c r="BA20" s="63"/>
    </row>
    <row r="21" spans="1:53" ht="30.75" thickBot="1" x14ac:dyDescent="0.3">
      <c r="A21" s="106">
        <v>2</v>
      </c>
      <c r="B21" s="107">
        <v>1</v>
      </c>
      <c r="C21" s="108">
        <f t="shared" si="13"/>
        <v>2</v>
      </c>
      <c r="D21" s="108" t="s">
        <v>22</v>
      </c>
      <c r="E21" s="109"/>
      <c r="F21" s="109">
        <v>10</v>
      </c>
      <c r="G21" s="109">
        <v>10</v>
      </c>
      <c r="H21" s="109" t="s">
        <v>136</v>
      </c>
      <c r="I21" s="109" t="s">
        <v>179</v>
      </c>
      <c r="J21" s="120" t="s">
        <v>202</v>
      </c>
      <c r="K21" s="109" t="s">
        <v>11</v>
      </c>
      <c r="L21" s="109" t="s">
        <v>180</v>
      </c>
      <c r="M21" s="110" t="s">
        <v>30</v>
      </c>
      <c r="N21" s="111" t="s">
        <v>12</v>
      </c>
      <c r="O21" s="112" t="s">
        <v>203</v>
      </c>
      <c r="P21" s="109" t="s">
        <v>12</v>
      </c>
      <c r="Q21" s="109" t="s">
        <v>204</v>
      </c>
      <c r="R21" s="109" t="s">
        <v>205</v>
      </c>
      <c r="S21" s="111" t="s">
        <v>12</v>
      </c>
      <c r="T21" s="113" t="s">
        <v>29</v>
      </c>
      <c r="U21" s="113" t="s">
        <v>12</v>
      </c>
      <c r="V21" s="113" t="s">
        <v>12</v>
      </c>
      <c r="W21" s="113" t="s">
        <v>12</v>
      </c>
      <c r="X21" s="111" t="s">
        <v>29</v>
      </c>
      <c r="Y21" s="111" t="s">
        <v>12</v>
      </c>
      <c r="Z21" s="111" t="s">
        <v>12</v>
      </c>
      <c r="AA21" s="111" t="s">
        <v>12</v>
      </c>
      <c r="AB21" s="114" t="s">
        <v>175</v>
      </c>
      <c r="AC21" s="114" t="s">
        <v>15</v>
      </c>
      <c r="AD21" s="115">
        <v>2</v>
      </c>
      <c r="AE21" s="115" t="s">
        <v>136</v>
      </c>
      <c r="AF21" s="115"/>
      <c r="AG21" s="115" t="s">
        <v>130</v>
      </c>
      <c r="AH21" s="115" t="s">
        <v>201</v>
      </c>
      <c r="AI21" s="115" t="s">
        <v>11</v>
      </c>
      <c r="AJ21" s="115"/>
      <c r="AK21" s="116"/>
      <c r="AL21" s="116"/>
      <c r="AM21" s="115"/>
      <c r="AN21" s="115"/>
      <c r="AO21" s="115"/>
      <c r="AP21" s="115"/>
      <c r="AQ21" s="116"/>
      <c r="AR21" s="117"/>
      <c r="AS21" s="117"/>
      <c r="AT21" s="117"/>
      <c r="AU21" s="117"/>
      <c r="AV21" s="116"/>
      <c r="AW21" s="116"/>
      <c r="AX21" s="116"/>
      <c r="AY21" s="116"/>
      <c r="AZ21" s="114"/>
      <c r="BA21" s="118"/>
    </row>
    <row r="22" spans="1:53" x14ac:dyDescent="0.25"/>
    <row r="23" spans="1:53" x14ac:dyDescent="0.25"/>
    <row r="24" spans="1:53" x14ac:dyDescent="0.25"/>
    <row r="25" spans="1:53" x14ac:dyDescent="0.25"/>
    <row r="26" spans="1:53" x14ac:dyDescent="0.25"/>
    <row r="27" spans="1:53" x14ac:dyDescent="0.25"/>
    <row r="28" spans="1:53" x14ac:dyDescent="0.25"/>
    <row r="29" spans="1:53" x14ac:dyDescent="0.25"/>
    <row r="30" spans="1:53" x14ac:dyDescent="0.25"/>
    <row r="31" spans="1:53" x14ac:dyDescent="0.25"/>
    <row r="32" spans="1:53" x14ac:dyDescent="0.25"/>
    <row r="33" x14ac:dyDescent="0.25"/>
    <row r="34" x14ac:dyDescent="0.25"/>
    <row r="35" x14ac:dyDescent="0.25"/>
    <row r="36" x14ac:dyDescent="0.25"/>
    <row r="37" x14ac:dyDescent="0.25"/>
    <row r="38" x14ac:dyDescent="0.25"/>
    <row r="39" x14ac:dyDescent="0.25"/>
    <row r="40" x14ac:dyDescent="0.25"/>
    <row r="41" x14ac:dyDescent="0.25"/>
    <row r="42" x14ac:dyDescent="0.25"/>
    <row r="43" x14ac:dyDescent="0.25"/>
    <row r="44" x14ac:dyDescent="0.25"/>
    <row r="45" x14ac:dyDescent="0.25"/>
    <row r="46" x14ac:dyDescent="0.25"/>
    <row r="47" x14ac:dyDescent="0.25"/>
    <row r="48" x14ac:dyDescent="0.25"/>
    <row r="49" x14ac:dyDescent="0.25"/>
    <row r="50" x14ac:dyDescent="0.25"/>
    <row r="51" x14ac:dyDescent="0.25"/>
    <row r="52" x14ac:dyDescent="0.25"/>
    <row r="53" x14ac:dyDescent="0.25"/>
    <row r="54" x14ac:dyDescent="0.25"/>
    <row r="55" x14ac:dyDescent="0.25"/>
    <row r="56" x14ac:dyDescent="0.25"/>
    <row r="57" x14ac:dyDescent="0.25"/>
    <row r="58" x14ac:dyDescent="0.25"/>
    <row r="59" x14ac:dyDescent="0.25"/>
    <row r="60" x14ac:dyDescent="0.25"/>
    <row r="61" x14ac:dyDescent="0.25"/>
    <row r="62" x14ac:dyDescent="0.25"/>
    <row r="63" x14ac:dyDescent="0.25"/>
    <row r="64" x14ac:dyDescent="0.25"/>
    <row r="65" x14ac:dyDescent="0.25"/>
    <row r="66" x14ac:dyDescent="0.25"/>
    <row r="67" x14ac:dyDescent="0.25"/>
    <row r="68" x14ac:dyDescent="0.25"/>
    <row r="69" x14ac:dyDescent="0.25"/>
    <row r="70" x14ac:dyDescent="0.25"/>
    <row r="71" x14ac:dyDescent="0.25"/>
    <row r="72" x14ac:dyDescent="0.25"/>
    <row r="73" x14ac:dyDescent="0.25"/>
    <row r="74" x14ac:dyDescent="0.25"/>
    <row r="75" x14ac:dyDescent="0.25"/>
    <row r="76" x14ac:dyDescent="0.25"/>
    <row r="77" x14ac:dyDescent="0.25"/>
    <row r="78" x14ac:dyDescent="0.25"/>
    <row r="79" x14ac:dyDescent="0.25"/>
    <row r="80" x14ac:dyDescent="0.25"/>
    <row r="81" x14ac:dyDescent="0.25"/>
    <row r="82" x14ac:dyDescent="0.25"/>
    <row r="83" x14ac:dyDescent="0.25"/>
    <row r="84" x14ac:dyDescent="0.25"/>
    <row r="85" x14ac:dyDescent="0.25"/>
    <row r="86" x14ac:dyDescent="0.25"/>
    <row r="87" x14ac:dyDescent="0.25"/>
    <row r="88" x14ac:dyDescent="0.25"/>
    <row r="89" x14ac:dyDescent="0.25"/>
    <row r="90" x14ac:dyDescent="0.25"/>
    <row r="91" x14ac:dyDescent="0.25"/>
    <row r="92" x14ac:dyDescent="0.25"/>
    <row r="93" x14ac:dyDescent="0.25"/>
    <row r="94" x14ac:dyDescent="0.25"/>
    <row r="95" x14ac:dyDescent="0.25"/>
    <row r="96" x14ac:dyDescent="0.25"/>
    <row r="97" x14ac:dyDescent="0.25"/>
    <row r="98" x14ac:dyDescent="0.25"/>
    <row r="99" x14ac:dyDescent="0.25"/>
    <row r="100" x14ac:dyDescent="0.25"/>
    <row r="101" x14ac:dyDescent="0.25"/>
    <row r="102" x14ac:dyDescent="0.25"/>
    <row r="103" x14ac:dyDescent="0.25"/>
    <row r="104" x14ac:dyDescent="0.25"/>
    <row r="105" x14ac:dyDescent="0.25"/>
    <row r="106" x14ac:dyDescent="0.25"/>
    <row r="107" x14ac:dyDescent="0.25"/>
    <row r="108" x14ac:dyDescent="0.25"/>
    <row r="109" x14ac:dyDescent="0.25"/>
    <row r="110" x14ac:dyDescent="0.25"/>
    <row r="111" x14ac:dyDescent="0.25"/>
    <row r="112" x14ac:dyDescent="0.25"/>
    <row r="113" x14ac:dyDescent="0.25"/>
    <row r="114" x14ac:dyDescent="0.25"/>
    <row r="115" x14ac:dyDescent="0.25"/>
    <row r="116" x14ac:dyDescent="0.25"/>
    <row r="117" x14ac:dyDescent="0.25"/>
    <row r="118" x14ac:dyDescent="0.25"/>
    <row r="119" x14ac:dyDescent="0.25"/>
    <row r="120" x14ac:dyDescent="0.25"/>
    <row r="121" x14ac:dyDescent="0.25"/>
    <row r="122" x14ac:dyDescent="0.25"/>
    <row r="123" x14ac:dyDescent="0.25"/>
    <row r="124" x14ac:dyDescent="0.25"/>
    <row r="125" x14ac:dyDescent="0.25"/>
    <row r="126" x14ac:dyDescent="0.25"/>
    <row r="127" x14ac:dyDescent="0.25"/>
    <row r="128" x14ac:dyDescent="0.25"/>
    <row r="129" x14ac:dyDescent="0.25"/>
    <row r="130" x14ac:dyDescent="0.25"/>
    <row r="131" x14ac:dyDescent="0.25"/>
    <row r="132" x14ac:dyDescent="0.25"/>
    <row r="133" x14ac:dyDescent="0.25"/>
    <row r="134" x14ac:dyDescent="0.25"/>
    <row r="135" x14ac:dyDescent="0.25"/>
    <row r="136" x14ac:dyDescent="0.25"/>
    <row r="137" x14ac:dyDescent="0.25"/>
    <row r="138" x14ac:dyDescent="0.25"/>
    <row r="139" x14ac:dyDescent="0.25"/>
    <row r="140" x14ac:dyDescent="0.25"/>
    <row r="141" x14ac:dyDescent="0.25"/>
    <row r="142" x14ac:dyDescent="0.25"/>
    <row r="143" x14ac:dyDescent="0.25"/>
    <row r="144" x14ac:dyDescent="0.25"/>
    <row r="145" x14ac:dyDescent="0.25"/>
    <row r="146" x14ac:dyDescent="0.25"/>
    <row r="147" x14ac:dyDescent="0.25"/>
    <row r="148" x14ac:dyDescent="0.25"/>
    <row r="149" x14ac:dyDescent="0.25"/>
    <row r="150" x14ac:dyDescent="0.25"/>
    <row r="151" x14ac:dyDescent="0.25"/>
    <row r="152" x14ac:dyDescent="0.25"/>
    <row r="153" x14ac:dyDescent="0.25"/>
    <row r="154" x14ac:dyDescent="0.25"/>
    <row r="155" x14ac:dyDescent="0.25"/>
    <row r="156" x14ac:dyDescent="0.25"/>
    <row r="157" x14ac:dyDescent="0.25"/>
    <row r="158" x14ac:dyDescent="0.25"/>
    <row r="159" x14ac:dyDescent="0.25"/>
    <row r="160" x14ac:dyDescent="0.25"/>
    <row r="161" x14ac:dyDescent="0.25"/>
    <row r="162" x14ac:dyDescent="0.25"/>
    <row r="163" x14ac:dyDescent="0.25"/>
    <row r="164" x14ac:dyDescent="0.25"/>
    <row r="165" x14ac:dyDescent="0.25"/>
    <row r="166" x14ac:dyDescent="0.25"/>
    <row r="167" x14ac:dyDescent="0.25"/>
    <row r="168" x14ac:dyDescent="0.25"/>
    <row r="169" x14ac:dyDescent="0.25"/>
    <row r="170" x14ac:dyDescent="0.25"/>
    <row r="171" x14ac:dyDescent="0.25"/>
    <row r="172" x14ac:dyDescent="0.25"/>
    <row r="173" x14ac:dyDescent="0.25"/>
    <row r="174" x14ac:dyDescent="0.25"/>
    <row r="175" x14ac:dyDescent="0.25"/>
    <row r="176" x14ac:dyDescent="0.25"/>
    <row r="177" x14ac:dyDescent="0.25"/>
    <row r="178" x14ac:dyDescent="0.25"/>
    <row r="179" x14ac:dyDescent="0.25"/>
    <row r="180" x14ac:dyDescent="0.25"/>
    <row r="181" x14ac:dyDescent="0.25"/>
    <row r="182" x14ac:dyDescent="0.25"/>
    <row r="183" x14ac:dyDescent="0.25"/>
    <row r="184" x14ac:dyDescent="0.25"/>
    <row r="185" x14ac:dyDescent="0.25"/>
    <row r="186" x14ac:dyDescent="0.25"/>
    <row r="187" x14ac:dyDescent="0.25"/>
    <row r="188" x14ac:dyDescent="0.25"/>
    <row r="189" x14ac:dyDescent="0.25"/>
    <row r="190" x14ac:dyDescent="0.25"/>
    <row r="191" x14ac:dyDescent="0.25"/>
    <row r="192" x14ac:dyDescent="0.25"/>
    <row r="193" x14ac:dyDescent="0.25"/>
    <row r="194" x14ac:dyDescent="0.25"/>
    <row r="195" x14ac:dyDescent="0.25"/>
    <row r="196" x14ac:dyDescent="0.25"/>
    <row r="197" x14ac:dyDescent="0.25"/>
    <row r="198" x14ac:dyDescent="0.25"/>
    <row r="199" x14ac:dyDescent="0.25"/>
    <row r="200" x14ac:dyDescent="0.25"/>
    <row r="201" x14ac:dyDescent="0.25"/>
    <row r="202" x14ac:dyDescent="0.25"/>
    <row r="203" x14ac:dyDescent="0.25"/>
    <row r="204" x14ac:dyDescent="0.25"/>
    <row r="205" x14ac:dyDescent="0.25"/>
    <row r="206" x14ac:dyDescent="0.25"/>
    <row r="207" x14ac:dyDescent="0.25"/>
    <row r="208" x14ac:dyDescent="0.25"/>
    <row r="209" x14ac:dyDescent="0.25"/>
    <row r="210" x14ac:dyDescent="0.25"/>
    <row r="211" x14ac:dyDescent="0.25"/>
    <row r="212" x14ac:dyDescent="0.25"/>
    <row r="213" x14ac:dyDescent="0.25"/>
    <row r="214" x14ac:dyDescent="0.25"/>
    <row r="215" x14ac:dyDescent="0.25"/>
    <row r="216" x14ac:dyDescent="0.25"/>
    <row r="217" x14ac:dyDescent="0.25"/>
    <row r="218" x14ac:dyDescent="0.25"/>
    <row r="219" x14ac:dyDescent="0.25"/>
    <row r="220" x14ac:dyDescent="0.25"/>
    <row r="221" x14ac:dyDescent="0.25"/>
    <row r="222" x14ac:dyDescent="0.25"/>
    <row r="223" x14ac:dyDescent="0.25"/>
    <row r="224" x14ac:dyDescent="0.25"/>
    <row r="225" x14ac:dyDescent="0.25"/>
    <row r="226" x14ac:dyDescent="0.25"/>
    <row r="227" x14ac:dyDescent="0.25"/>
    <row r="228" x14ac:dyDescent="0.25"/>
    <row r="229" x14ac:dyDescent="0.25"/>
    <row r="230" x14ac:dyDescent="0.25"/>
    <row r="231" x14ac:dyDescent="0.25"/>
    <row r="232" x14ac:dyDescent="0.25"/>
    <row r="233" x14ac:dyDescent="0.25"/>
    <row r="234" x14ac:dyDescent="0.25"/>
    <row r="235" x14ac:dyDescent="0.25"/>
    <row r="236" x14ac:dyDescent="0.25"/>
    <row r="237" x14ac:dyDescent="0.25"/>
    <row r="238" x14ac:dyDescent="0.25"/>
    <row r="239" x14ac:dyDescent="0.25"/>
    <row r="240" x14ac:dyDescent="0.25"/>
    <row r="241" x14ac:dyDescent="0.25"/>
    <row r="242" x14ac:dyDescent="0.25"/>
    <row r="243" x14ac:dyDescent="0.25"/>
    <row r="244" x14ac:dyDescent="0.25"/>
    <row r="245" x14ac:dyDescent="0.25"/>
    <row r="246" x14ac:dyDescent="0.25"/>
    <row r="247" x14ac:dyDescent="0.25"/>
    <row r="248" x14ac:dyDescent="0.25"/>
    <row r="249" x14ac:dyDescent="0.25"/>
    <row r="250" x14ac:dyDescent="0.25"/>
    <row r="251" x14ac:dyDescent="0.25"/>
    <row r="252" x14ac:dyDescent="0.25"/>
    <row r="253" x14ac:dyDescent="0.25"/>
    <row r="254" x14ac:dyDescent="0.25"/>
    <row r="255" x14ac:dyDescent="0.25"/>
    <row r="256" x14ac:dyDescent="0.25"/>
    <row r="257" x14ac:dyDescent="0.25"/>
    <row r="258" x14ac:dyDescent="0.25"/>
    <row r="259" x14ac:dyDescent="0.25"/>
    <row r="260" x14ac:dyDescent="0.25"/>
    <row r="261" x14ac:dyDescent="0.25"/>
    <row r="262" x14ac:dyDescent="0.25"/>
    <row r="263" x14ac:dyDescent="0.25"/>
    <row r="264" x14ac:dyDescent="0.25"/>
    <row r="265" x14ac:dyDescent="0.25"/>
    <row r="266" x14ac:dyDescent="0.25"/>
    <row r="267" x14ac:dyDescent="0.25"/>
    <row r="268" x14ac:dyDescent="0.25"/>
    <row r="269" x14ac:dyDescent="0.25"/>
    <row r="270" x14ac:dyDescent="0.25"/>
    <row r="271" x14ac:dyDescent="0.25"/>
    <row r="272" x14ac:dyDescent="0.25"/>
    <row r="273" x14ac:dyDescent="0.25"/>
    <row r="274" x14ac:dyDescent="0.25"/>
    <row r="275" x14ac:dyDescent="0.25"/>
    <row r="276" x14ac:dyDescent="0.25"/>
    <row r="277" x14ac:dyDescent="0.25"/>
    <row r="278" x14ac:dyDescent="0.25"/>
    <row r="279" x14ac:dyDescent="0.25"/>
    <row r="280" x14ac:dyDescent="0.25"/>
    <row r="281" x14ac:dyDescent="0.25"/>
    <row r="282" x14ac:dyDescent="0.25"/>
    <row r="283" x14ac:dyDescent="0.25"/>
    <row r="284" x14ac:dyDescent="0.25"/>
    <row r="285" x14ac:dyDescent="0.25"/>
    <row r="286" x14ac:dyDescent="0.25"/>
    <row r="287" x14ac:dyDescent="0.25"/>
    <row r="288" x14ac:dyDescent="0.25"/>
    <row r="289" x14ac:dyDescent="0.25"/>
    <row r="290" x14ac:dyDescent="0.25"/>
    <row r="291" x14ac:dyDescent="0.25"/>
    <row r="292" x14ac:dyDescent="0.25"/>
    <row r="293" x14ac:dyDescent="0.25"/>
    <row r="294" x14ac:dyDescent="0.25"/>
    <row r="295" x14ac:dyDescent="0.25"/>
    <row r="296" x14ac:dyDescent="0.25"/>
    <row r="297" x14ac:dyDescent="0.25"/>
    <row r="298" x14ac:dyDescent="0.25"/>
    <row r="299" x14ac:dyDescent="0.25"/>
    <row r="300" x14ac:dyDescent="0.25"/>
    <row r="301" x14ac:dyDescent="0.25"/>
    <row r="302" x14ac:dyDescent="0.25"/>
    <row r="303" x14ac:dyDescent="0.25"/>
    <row r="304" x14ac:dyDescent="0.25"/>
    <row r="305" x14ac:dyDescent="0.25"/>
    <row r="306" x14ac:dyDescent="0.25"/>
    <row r="307" x14ac:dyDescent="0.25"/>
    <row r="308" x14ac:dyDescent="0.25"/>
    <row r="309" x14ac:dyDescent="0.25"/>
    <row r="310" x14ac:dyDescent="0.25"/>
    <row r="311" x14ac:dyDescent="0.25"/>
    <row r="312" x14ac:dyDescent="0.25"/>
    <row r="313" x14ac:dyDescent="0.25"/>
    <row r="314" x14ac:dyDescent="0.25"/>
    <row r="315" x14ac:dyDescent="0.25"/>
    <row r="316" x14ac:dyDescent="0.25"/>
    <row r="317" x14ac:dyDescent="0.25"/>
    <row r="318" x14ac:dyDescent="0.25"/>
    <row r="319" x14ac:dyDescent="0.25"/>
    <row r="320" x14ac:dyDescent="0.25"/>
    <row r="321" x14ac:dyDescent="0.25"/>
    <row r="322" x14ac:dyDescent="0.25"/>
    <row r="323" x14ac:dyDescent="0.25"/>
    <row r="324" x14ac:dyDescent="0.25"/>
    <row r="325" x14ac:dyDescent="0.25"/>
    <row r="326" x14ac:dyDescent="0.25"/>
    <row r="327" x14ac:dyDescent="0.25"/>
    <row r="328" x14ac:dyDescent="0.25"/>
    <row r="329" x14ac:dyDescent="0.25"/>
    <row r="330" x14ac:dyDescent="0.25"/>
    <row r="331" x14ac:dyDescent="0.25"/>
    <row r="332" x14ac:dyDescent="0.25"/>
    <row r="333" x14ac:dyDescent="0.25"/>
    <row r="334" x14ac:dyDescent="0.25"/>
    <row r="335" x14ac:dyDescent="0.25"/>
    <row r="336" x14ac:dyDescent="0.25"/>
    <row r="337" x14ac:dyDescent="0.25"/>
    <row r="338" x14ac:dyDescent="0.25"/>
    <row r="339" x14ac:dyDescent="0.25"/>
    <row r="340" x14ac:dyDescent="0.25"/>
    <row r="341" x14ac:dyDescent="0.25"/>
    <row r="342" x14ac:dyDescent="0.25"/>
    <row r="343" x14ac:dyDescent="0.25"/>
    <row r="344" x14ac:dyDescent="0.25"/>
    <row r="345" x14ac:dyDescent="0.25"/>
    <row r="346" x14ac:dyDescent="0.25"/>
    <row r="347" x14ac:dyDescent="0.25"/>
    <row r="348" x14ac:dyDescent="0.25"/>
    <row r="349" x14ac:dyDescent="0.25"/>
    <row r="350" x14ac:dyDescent="0.25"/>
    <row r="351" x14ac:dyDescent="0.25"/>
    <row r="352" x14ac:dyDescent="0.25"/>
    <row r="353" x14ac:dyDescent="0.25"/>
    <row r="354" x14ac:dyDescent="0.25"/>
    <row r="355" x14ac:dyDescent="0.25"/>
    <row r="356" x14ac:dyDescent="0.25"/>
    <row r="357" x14ac:dyDescent="0.25"/>
    <row r="358" x14ac:dyDescent="0.25"/>
    <row r="359" x14ac:dyDescent="0.25"/>
    <row r="360" x14ac:dyDescent="0.25"/>
    <row r="361" x14ac:dyDescent="0.25"/>
    <row r="362" x14ac:dyDescent="0.25"/>
    <row r="363" x14ac:dyDescent="0.25"/>
    <row r="364" x14ac:dyDescent="0.25"/>
    <row r="365" x14ac:dyDescent="0.25"/>
    <row r="366" x14ac:dyDescent="0.25"/>
    <row r="367" x14ac:dyDescent="0.25"/>
    <row r="368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7" x14ac:dyDescent="0.25"/>
    <row r="408" x14ac:dyDescent="0.25"/>
    <row r="409" x14ac:dyDescent="0.25"/>
    <row r="410" x14ac:dyDescent="0.25"/>
    <row r="411" x14ac:dyDescent="0.25"/>
    <row r="412" x14ac:dyDescent="0.25"/>
    <row r="413" x14ac:dyDescent="0.25"/>
    <row r="414" x14ac:dyDescent="0.25"/>
    <row r="415" x14ac:dyDescent="0.25"/>
    <row r="416" x14ac:dyDescent="0.25"/>
    <row r="417" x14ac:dyDescent="0.25"/>
    <row r="418" x14ac:dyDescent="0.25"/>
    <row r="419" x14ac:dyDescent="0.25"/>
    <row r="420" x14ac:dyDescent="0.25"/>
    <row r="421" x14ac:dyDescent="0.25"/>
    <row r="422" x14ac:dyDescent="0.25"/>
    <row r="423" x14ac:dyDescent="0.25"/>
    <row r="424" x14ac:dyDescent="0.25"/>
    <row r="425" x14ac:dyDescent="0.25"/>
    <row r="426" x14ac:dyDescent="0.25"/>
    <row r="427" x14ac:dyDescent="0.25"/>
    <row r="428" x14ac:dyDescent="0.25"/>
    <row r="429" x14ac:dyDescent="0.25"/>
    <row r="430" x14ac:dyDescent="0.25"/>
    <row r="431" x14ac:dyDescent="0.25"/>
    <row r="432" x14ac:dyDescent="0.25"/>
    <row r="433" x14ac:dyDescent="0.25"/>
    <row r="434" x14ac:dyDescent="0.25"/>
    <row r="435" x14ac:dyDescent="0.25"/>
    <row r="436" x14ac:dyDescent="0.25"/>
    <row r="437" x14ac:dyDescent="0.25"/>
    <row r="438" x14ac:dyDescent="0.25"/>
    <row r="439" x14ac:dyDescent="0.25"/>
    <row r="440" x14ac:dyDescent="0.25"/>
    <row r="441" x14ac:dyDescent="0.25"/>
    <row r="442" x14ac:dyDescent="0.25"/>
    <row r="443" x14ac:dyDescent="0.25"/>
    <row r="444" x14ac:dyDescent="0.25"/>
    <row r="445" x14ac:dyDescent="0.25"/>
    <row r="446" x14ac:dyDescent="0.25"/>
    <row r="447" x14ac:dyDescent="0.25"/>
    <row r="448" x14ac:dyDescent="0.25"/>
    <row r="449" x14ac:dyDescent="0.25"/>
    <row r="450" x14ac:dyDescent="0.25"/>
    <row r="451" x14ac:dyDescent="0.25"/>
    <row r="452" x14ac:dyDescent="0.25"/>
    <row r="453" x14ac:dyDescent="0.25"/>
    <row r="454" x14ac:dyDescent="0.25"/>
    <row r="455" x14ac:dyDescent="0.25"/>
    <row r="456" x14ac:dyDescent="0.25"/>
    <row r="457" x14ac:dyDescent="0.25"/>
    <row r="458" x14ac:dyDescent="0.25"/>
    <row r="459" x14ac:dyDescent="0.25"/>
    <row r="460" x14ac:dyDescent="0.25"/>
    <row r="461" x14ac:dyDescent="0.25"/>
    <row r="462" x14ac:dyDescent="0.25"/>
    <row r="463" x14ac:dyDescent="0.25"/>
    <row r="464" x14ac:dyDescent="0.25"/>
    <row r="465" x14ac:dyDescent="0.25"/>
    <row r="466" x14ac:dyDescent="0.25"/>
    <row r="467" x14ac:dyDescent="0.25"/>
    <row r="468" x14ac:dyDescent="0.25"/>
    <row r="469" x14ac:dyDescent="0.25"/>
    <row r="470" x14ac:dyDescent="0.25"/>
    <row r="471" x14ac:dyDescent="0.25"/>
    <row r="472" x14ac:dyDescent="0.25"/>
    <row r="473" x14ac:dyDescent="0.25"/>
    <row r="474" x14ac:dyDescent="0.25"/>
    <row r="475" x14ac:dyDescent="0.25"/>
    <row r="476" x14ac:dyDescent="0.25"/>
    <row r="477" x14ac:dyDescent="0.25"/>
    <row r="478" x14ac:dyDescent="0.25"/>
    <row r="479" x14ac:dyDescent="0.25"/>
    <row r="480" x14ac:dyDescent="0.25"/>
    <row r="481" x14ac:dyDescent="0.25"/>
    <row r="482" x14ac:dyDescent="0.25"/>
    <row r="483" x14ac:dyDescent="0.25"/>
    <row r="484" x14ac:dyDescent="0.25"/>
    <row r="485" x14ac:dyDescent="0.25"/>
    <row r="486" x14ac:dyDescent="0.25"/>
    <row r="487" x14ac:dyDescent="0.25"/>
    <row r="488" x14ac:dyDescent="0.25"/>
    <row r="489" x14ac:dyDescent="0.25"/>
    <row r="490" x14ac:dyDescent="0.25"/>
    <row r="491" x14ac:dyDescent="0.25"/>
    <row r="492" x14ac:dyDescent="0.25"/>
    <row r="493" x14ac:dyDescent="0.25"/>
    <row r="494" x14ac:dyDescent="0.25"/>
    <row r="495" x14ac:dyDescent="0.25"/>
    <row r="496" x14ac:dyDescent="0.25"/>
    <row r="497" x14ac:dyDescent="0.25"/>
    <row r="498" x14ac:dyDescent="0.25"/>
    <row r="499" x14ac:dyDescent="0.25"/>
    <row r="500" x14ac:dyDescent="0.25"/>
    <row r="501" x14ac:dyDescent="0.25"/>
    <row r="502" x14ac:dyDescent="0.25"/>
    <row r="503" x14ac:dyDescent="0.25"/>
    <row r="504" x14ac:dyDescent="0.25"/>
    <row r="505" x14ac:dyDescent="0.25"/>
    <row r="506" x14ac:dyDescent="0.25"/>
    <row r="507" x14ac:dyDescent="0.25"/>
    <row r="508" x14ac:dyDescent="0.25"/>
    <row r="509" x14ac:dyDescent="0.25"/>
    <row r="510" x14ac:dyDescent="0.25"/>
    <row r="511" x14ac:dyDescent="0.25"/>
    <row r="512" x14ac:dyDescent="0.25"/>
    <row r="513" x14ac:dyDescent="0.25"/>
    <row r="514" x14ac:dyDescent="0.25"/>
    <row r="515" x14ac:dyDescent="0.25"/>
    <row r="516" x14ac:dyDescent="0.25"/>
    <row r="517" x14ac:dyDescent="0.25"/>
    <row r="518" x14ac:dyDescent="0.25"/>
    <row r="519" x14ac:dyDescent="0.25"/>
    <row r="520" x14ac:dyDescent="0.25"/>
    <row r="521" x14ac:dyDescent="0.25"/>
    <row r="522" x14ac:dyDescent="0.25"/>
    <row r="523" x14ac:dyDescent="0.25"/>
    <row r="524" x14ac:dyDescent="0.25"/>
    <row r="525" x14ac:dyDescent="0.25"/>
    <row r="526" x14ac:dyDescent="0.25"/>
    <row r="527" x14ac:dyDescent="0.25"/>
    <row r="528" x14ac:dyDescent="0.25"/>
    <row r="529" x14ac:dyDescent="0.25"/>
    <row r="530" x14ac:dyDescent="0.25"/>
    <row r="531" x14ac:dyDescent="0.25"/>
    <row r="532" x14ac:dyDescent="0.25"/>
    <row r="533" x14ac:dyDescent="0.25"/>
    <row r="534" x14ac:dyDescent="0.25"/>
    <row r="535" x14ac:dyDescent="0.25"/>
    <row r="536" x14ac:dyDescent="0.25"/>
    <row r="537" x14ac:dyDescent="0.25"/>
    <row r="538" x14ac:dyDescent="0.25"/>
    <row r="539" x14ac:dyDescent="0.25"/>
    <row r="540" x14ac:dyDescent="0.25"/>
    <row r="541" x14ac:dyDescent="0.25"/>
    <row r="542" x14ac:dyDescent="0.25"/>
    <row r="543" x14ac:dyDescent="0.25"/>
    <row r="544" x14ac:dyDescent="0.25"/>
    <row r="545" x14ac:dyDescent="0.25"/>
    <row r="546" x14ac:dyDescent="0.25"/>
    <row r="547" x14ac:dyDescent="0.25"/>
    <row r="548" x14ac:dyDescent="0.25"/>
    <row r="549" x14ac:dyDescent="0.25"/>
    <row r="550" x14ac:dyDescent="0.25"/>
    <row r="551" x14ac:dyDescent="0.25"/>
    <row r="552" x14ac:dyDescent="0.25"/>
    <row r="553" x14ac:dyDescent="0.25"/>
    <row r="554" x14ac:dyDescent="0.25"/>
    <row r="555" x14ac:dyDescent="0.25"/>
    <row r="556" x14ac:dyDescent="0.25"/>
    <row r="557" x14ac:dyDescent="0.25"/>
    <row r="558" x14ac:dyDescent="0.25"/>
    <row r="559" x14ac:dyDescent="0.25"/>
    <row r="560" x14ac:dyDescent="0.25"/>
    <row r="561" x14ac:dyDescent="0.25"/>
    <row r="562" x14ac:dyDescent="0.25"/>
    <row r="563" x14ac:dyDescent="0.25"/>
    <row r="564" x14ac:dyDescent="0.25"/>
    <row r="565" x14ac:dyDescent="0.25"/>
    <row r="566" x14ac:dyDescent="0.25"/>
    <row r="567" x14ac:dyDescent="0.25"/>
    <row r="568" x14ac:dyDescent="0.25"/>
    <row r="569" x14ac:dyDescent="0.25"/>
    <row r="570" x14ac:dyDescent="0.25"/>
    <row r="571" x14ac:dyDescent="0.25"/>
    <row r="572" x14ac:dyDescent="0.25"/>
    <row r="573" x14ac:dyDescent="0.25"/>
    <row r="574" x14ac:dyDescent="0.25"/>
    <row r="575" x14ac:dyDescent="0.25"/>
    <row r="576" x14ac:dyDescent="0.25"/>
    <row r="577" x14ac:dyDescent="0.25"/>
    <row r="578" x14ac:dyDescent="0.25"/>
    <row r="579" x14ac:dyDescent="0.25"/>
    <row r="580" x14ac:dyDescent="0.25"/>
    <row r="581" x14ac:dyDescent="0.25"/>
    <row r="582" x14ac:dyDescent="0.25"/>
    <row r="583" x14ac:dyDescent="0.25"/>
    <row r="584" x14ac:dyDescent="0.25"/>
    <row r="585" x14ac:dyDescent="0.25"/>
    <row r="586" x14ac:dyDescent="0.25"/>
    <row r="587" x14ac:dyDescent="0.25"/>
    <row r="588" x14ac:dyDescent="0.25"/>
    <row r="589" x14ac:dyDescent="0.25"/>
    <row r="590" x14ac:dyDescent="0.25"/>
    <row r="591" x14ac:dyDescent="0.25"/>
    <row r="592" x14ac:dyDescent="0.25"/>
    <row r="593" x14ac:dyDescent="0.25"/>
    <row r="594" x14ac:dyDescent="0.25"/>
    <row r="595" x14ac:dyDescent="0.25"/>
    <row r="596" x14ac:dyDescent="0.25"/>
    <row r="597" x14ac:dyDescent="0.25"/>
    <row r="598" x14ac:dyDescent="0.25"/>
    <row r="599" x14ac:dyDescent="0.25"/>
    <row r="600" x14ac:dyDescent="0.25"/>
    <row r="601" x14ac:dyDescent="0.25"/>
    <row r="602" x14ac:dyDescent="0.25"/>
    <row r="603" x14ac:dyDescent="0.25"/>
    <row r="604" x14ac:dyDescent="0.25"/>
    <row r="605" x14ac:dyDescent="0.25"/>
    <row r="606" x14ac:dyDescent="0.25"/>
    <row r="607" x14ac:dyDescent="0.25"/>
    <row r="608" x14ac:dyDescent="0.25"/>
    <row r="609" x14ac:dyDescent="0.25"/>
    <row r="610" x14ac:dyDescent="0.25"/>
    <row r="611" x14ac:dyDescent="0.25"/>
    <row r="612" x14ac:dyDescent="0.25"/>
    <row r="613" x14ac:dyDescent="0.25"/>
    <row r="614" x14ac:dyDescent="0.25"/>
    <row r="615" x14ac:dyDescent="0.25"/>
    <row r="616" x14ac:dyDescent="0.25"/>
    <row r="617" x14ac:dyDescent="0.25"/>
    <row r="618" x14ac:dyDescent="0.25"/>
    <row r="619" x14ac:dyDescent="0.25"/>
    <row r="620" x14ac:dyDescent="0.25"/>
    <row r="621" x14ac:dyDescent="0.25"/>
    <row r="622" x14ac:dyDescent="0.25"/>
    <row r="623" x14ac:dyDescent="0.25"/>
    <row r="624" x14ac:dyDescent="0.25"/>
    <row r="625" x14ac:dyDescent="0.25"/>
    <row r="626" x14ac:dyDescent="0.25"/>
    <row r="627" x14ac:dyDescent="0.25"/>
    <row r="628" x14ac:dyDescent="0.25"/>
    <row r="629" x14ac:dyDescent="0.25"/>
    <row r="630" x14ac:dyDescent="0.25"/>
    <row r="631" x14ac:dyDescent="0.25"/>
    <row r="632" x14ac:dyDescent="0.25"/>
    <row r="633" x14ac:dyDescent="0.25"/>
    <row r="634" x14ac:dyDescent="0.25"/>
    <row r="635" x14ac:dyDescent="0.25"/>
    <row r="636" x14ac:dyDescent="0.25"/>
    <row r="637" x14ac:dyDescent="0.25"/>
    <row r="638" x14ac:dyDescent="0.25"/>
    <row r="639" x14ac:dyDescent="0.25"/>
    <row r="640" x14ac:dyDescent="0.25"/>
    <row r="641" x14ac:dyDescent="0.25"/>
    <row r="642" x14ac:dyDescent="0.25"/>
    <row r="643" x14ac:dyDescent="0.25"/>
    <row r="644" x14ac:dyDescent="0.25"/>
    <row r="645" x14ac:dyDescent="0.25"/>
    <row r="646" x14ac:dyDescent="0.25"/>
    <row r="647" x14ac:dyDescent="0.25"/>
    <row r="648" x14ac:dyDescent="0.25"/>
    <row r="649" x14ac:dyDescent="0.25"/>
    <row r="650" x14ac:dyDescent="0.25"/>
    <row r="651" x14ac:dyDescent="0.25"/>
    <row r="652" x14ac:dyDescent="0.25"/>
    <row r="653" x14ac:dyDescent="0.25"/>
    <row r="654" x14ac:dyDescent="0.25"/>
    <row r="655" x14ac:dyDescent="0.25"/>
    <row r="656" x14ac:dyDescent="0.25"/>
    <row r="657" x14ac:dyDescent="0.25"/>
    <row r="658" x14ac:dyDescent="0.25"/>
    <row r="659" x14ac:dyDescent="0.25"/>
    <row r="660" x14ac:dyDescent="0.25"/>
    <row r="661" x14ac:dyDescent="0.25"/>
    <row r="662" x14ac:dyDescent="0.25"/>
    <row r="663" x14ac:dyDescent="0.25"/>
    <row r="664" x14ac:dyDescent="0.25"/>
    <row r="665" x14ac:dyDescent="0.25"/>
    <row r="666" x14ac:dyDescent="0.25"/>
    <row r="667" x14ac:dyDescent="0.25"/>
    <row r="668" x14ac:dyDescent="0.25"/>
    <row r="669" x14ac:dyDescent="0.25"/>
    <row r="670" x14ac:dyDescent="0.25"/>
    <row r="671" x14ac:dyDescent="0.25"/>
    <row r="672" x14ac:dyDescent="0.25"/>
    <row r="673" x14ac:dyDescent="0.25"/>
    <row r="674" x14ac:dyDescent="0.25"/>
    <row r="675" x14ac:dyDescent="0.25"/>
    <row r="676" x14ac:dyDescent="0.25"/>
    <row r="677" x14ac:dyDescent="0.25"/>
    <row r="678" x14ac:dyDescent="0.25"/>
    <row r="679" x14ac:dyDescent="0.25"/>
    <row r="680" x14ac:dyDescent="0.25"/>
    <row r="681" x14ac:dyDescent="0.25"/>
    <row r="682" x14ac:dyDescent="0.25"/>
    <row r="683" x14ac:dyDescent="0.25"/>
    <row r="684" x14ac:dyDescent="0.25"/>
    <row r="685" x14ac:dyDescent="0.25"/>
    <row r="686" x14ac:dyDescent="0.25"/>
    <row r="687" x14ac:dyDescent="0.25"/>
    <row r="688" x14ac:dyDescent="0.25"/>
    <row r="689" x14ac:dyDescent="0.25"/>
    <row r="690" x14ac:dyDescent="0.25"/>
    <row r="691" x14ac:dyDescent="0.25"/>
    <row r="692" x14ac:dyDescent="0.25"/>
    <row r="693" x14ac:dyDescent="0.25"/>
    <row r="694" x14ac:dyDescent="0.25"/>
    <row r="695" x14ac:dyDescent="0.25"/>
    <row r="696" x14ac:dyDescent="0.25"/>
    <row r="697" x14ac:dyDescent="0.25"/>
    <row r="698" x14ac:dyDescent="0.25"/>
    <row r="699" x14ac:dyDescent="0.25"/>
    <row r="700" x14ac:dyDescent="0.25"/>
    <row r="701" x14ac:dyDescent="0.25"/>
    <row r="702" x14ac:dyDescent="0.25"/>
    <row r="703" x14ac:dyDescent="0.25"/>
    <row r="704" x14ac:dyDescent="0.25"/>
    <row r="705" x14ac:dyDescent="0.25"/>
    <row r="706" x14ac:dyDescent="0.25"/>
    <row r="707" x14ac:dyDescent="0.25"/>
    <row r="708" x14ac:dyDescent="0.25"/>
    <row r="709" x14ac:dyDescent="0.25"/>
    <row r="710" x14ac:dyDescent="0.25"/>
    <row r="711" x14ac:dyDescent="0.25"/>
    <row r="712" x14ac:dyDescent="0.25"/>
    <row r="713" x14ac:dyDescent="0.25"/>
    <row r="714" x14ac:dyDescent="0.25"/>
    <row r="715" x14ac:dyDescent="0.25"/>
    <row r="716" x14ac:dyDescent="0.25"/>
    <row r="717" x14ac:dyDescent="0.25"/>
    <row r="718" x14ac:dyDescent="0.25"/>
    <row r="719" x14ac:dyDescent="0.25"/>
    <row r="720" x14ac:dyDescent="0.25"/>
    <row r="721" x14ac:dyDescent="0.25"/>
    <row r="722" x14ac:dyDescent="0.25"/>
    <row r="723" x14ac:dyDescent="0.25"/>
    <row r="724" x14ac:dyDescent="0.25"/>
    <row r="725" x14ac:dyDescent="0.25"/>
    <row r="726" x14ac:dyDescent="0.25"/>
    <row r="727" x14ac:dyDescent="0.25"/>
    <row r="728" x14ac:dyDescent="0.25"/>
    <row r="729" x14ac:dyDescent="0.25"/>
    <row r="730" x14ac:dyDescent="0.25"/>
    <row r="731" x14ac:dyDescent="0.25"/>
    <row r="732" x14ac:dyDescent="0.25"/>
    <row r="733" x14ac:dyDescent="0.25"/>
    <row r="734" x14ac:dyDescent="0.25"/>
    <row r="735" x14ac:dyDescent="0.25"/>
    <row r="736" x14ac:dyDescent="0.25"/>
    <row r="737" x14ac:dyDescent="0.25"/>
    <row r="738" x14ac:dyDescent="0.25"/>
    <row r="739" x14ac:dyDescent="0.25"/>
    <row r="740" x14ac:dyDescent="0.25"/>
    <row r="741" x14ac:dyDescent="0.25"/>
    <row r="742" x14ac:dyDescent="0.25"/>
    <row r="743" x14ac:dyDescent="0.25"/>
    <row r="744" x14ac:dyDescent="0.25"/>
    <row r="745" x14ac:dyDescent="0.25"/>
    <row r="746" x14ac:dyDescent="0.25"/>
    <row r="747" x14ac:dyDescent="0.25"/>
    <row r="748" x14ac:dyDescent="0.25"/>
    <row r="749" x14ac:dyDescent="0.25"/>
    <row r="750" x14ac:dyDescent="0.25"/>
    <row r="751" x14ac:dyDescent="0.25"/>
    <row r="752" x14ac:dyDescent="0.25"/>
    <row r="753" x14ac:dyDescent="0.25"/>
    <row r="754" x14ac:dyDescent="0.25"/>
    <row r="755" x14ac:dyDescent="0.25"/>
    <row r="756" x14ac:dyDescent="0.25"/>
    <row r="757" x14ac:dyDescent="0.25"/>
    <row r="758" x14ac:dyDescent="0.25"/>
    <row r="759" x14ac:dyDescent="0.25"/>
    <row r="760" x14ac:dyDescent="0.25"/>
    <row r="761" x14ac:dyDescent="0.25"/>
    <row r="762" x14ac:dyDescent="0.25"/>
    <row r="763" x14ac:dyDescent="0.25"/>
    <row r="764" x14ac:dyDescent="0.25"/>
    <row r="765" x14ac:dyDescent="0.25"/>
    <row r="766" x14ac:dyDescent="0.25"/>
    <row r="767" x14ac:dyDescent="0.25"/>
    <row r="768" x14ac:dyDescent="0.25"/>
    <row r="769" x14ac:dyDescent="0.25"/>
    <row r="770" x14ac:dyDescent="0.25"/>
  </sheetData>
  <autoFilter ref="A1:BA10" xr:uid="{81AA260C-798C-4AE5-8FFD-D097260F58C5}"/>
  <phoneticPr fontId="8" type="noConversion"/>
  <pageMargins left="0.7" right="0.7" top="0.75" bottom="0.75" header="0.3" footer="0.3"/>
  <pageSetup orientation="portrait" horizontalDpi="4294967293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684AF-4DD3-4B50-9D71-8055E9ACCAA4}">
  <sheetPr>
    <tabColor rgb="FF92D050"/>
  </sheetPr>
  <dimension ref="A1:X3"/>
  <sheetViews>
    <sheetView zoomScale="70" zoomScaleNormal="70" workbookViewId="0">
      <pane ySplit="1" topLeftCell="A2" activePane="bottomLeft" state="frozen"/>
      <selection pane="bottomLeft" activeCell="A4" sqref="A4:XFD5"/>
    </sheetView>
  </sheetViews>
  <sheetFormatPr defaultColWidth="8.85546875" defaultRowHeight="15" x14ac:dyDescent="0.25"/>
  <cols>
    <col min="1" max="1" width="11.28515625" style="53" customWidth="1"/>
    <col min="2" max="2" width="11.85546875" style="53" customWidth="1"/>
    <col min="3" max="3" width="13.28515625" style="53" customWidth="1"/>
    <col min="4" max="4" width="18" style="53" customWidth="1"/>
    <col min="5" max="5" width="22.28515625" style="53" customWidth="1"/>
    <col min="6" max="6" width="21.28515625" style="53" customWidth="1"/>
    <col min="7" max="7" width="23.5703125" style="53" bestFit="1" customWidth="1"/>
    <col min="8" max="9" width="22.28515625" style="53" customWidth="1"/>
    <col min="10" max="10" width="150.140625" style="53" customWidth="1"/>
    <col min="11" max="11" width="13.140625" style="53" customWidth="1"/>
    <col min="12" max="12" width="27.42578125" style="53" bestFit="1" customWidth="1"/>
    <col min="13" max="13" width="19.7109375" style="53" customWidth="1"/>
    <col min="14" max="14" width="21.140625" style="53" customWidth="1"/>
    <col min="15" max="15" width="23.42578125" style="53" customWidth="1"/>
    <col min="16" max="16" width="23.85546875" style="53" customWidth="1"/>
    <col min="17" max="17" width="26.28515625" style="53" customWidth="1"/>
    <col min="18" max="18" width="26.140625" style="53" customWidth="1"/>
    <col min="19" max="19" width="25.7109375" style="53" customWidth="1"/>
    <col min="20" max="20" width="24.85546875" style="53" customWidth="1"/>
    <col min="21" max="21" width="28.28515625" style="53" customWidth="1"/>
    <col min="22" max="22" width="26.7109375" style="53" customWidth="1"/>
    <col min="23" max="23" width="23.140625" style="53" customWidth="1"/>
    <col min="24" max="24" width="21.5703125" style="53" customWidth="1"/>
    <col min="25" max="16384" width="8.85546875" style="53"/>
  </cols>
  <sheetData>
    <row r="1" spans="1:24" ht="67.900000000000006" customHeight="1" thickBot="1" x14ac:dyDescent="0.3">
      <c r="A1" s="51" t="s">
        <v>128</v>
      </c>
      <c r="B1" s="11" t="s">
        <v>133</v>
      </c>
      <c r="C1" s="10" t="s">
        <v>131</v>
      </c>
      <c r="D1" s="26" t="s">
        <v>129</v>
      </c>
      <c r="E1" s="46" t="s">
        <v>8</v>
      </c>
      <c r="F1" s="46" t="s">
        <v>14</v>
      </c>
      <c r="G1" s="52" t="s">
        <v>25</v>
      </c>
      <c r="H1" s="28" t="s">
        <v>108</v>
      </c>
      <c r="I1" s="29" t="s">
        <v>109</v>
      </c>
      <c r="J1" s="26" t="s">
        <v>110</v>
      </c>
      <c r="K1" s="7" t="s">
        <v>111</v>
      </c>
      <c r="L1" s="7" t="s">
        <v>112</v>
      </c>
      <c r="M1" s="11" t="s">
        <v>113</v>
      </c>
      <c r="N1" s="19" t="s">
        <v>114</v>
      </c>
      <c r="O1" s="23" t="s">
        <v>115</v>
      </c>
      <c r="P1" s="13" t="s">
        <v>116</v>
      </c>
      <c r="Q1" s="12" t="s">
        <v>117</v>
      </c>
      <c r="R1" s="24" t="s">
        <v>118</v>
      </c>
      <c r="S1" s="21" t="s">
        <v>119</v>
      </c>
      <c r="T1" s="55" t="s">
        <v>120</v>
      </c>
      <c r="U1" s="55" t="s">
        <v>121</v>
      </c>
      <c r="V1" s="14" t="s">
        <v>122</v>
      </c>
      <c r="W1" s="9" t="s">
        <v>26</v>
      </c>
      <c r="X1" s="10" t="s">
        <v>68</v>
      </c>
    </row>
    <row r="2" spans="1:24" ht="278.25" customHeight="1" thickBot="1" x14ac:dyDescent="0.3">
      <c r="A2" s="54">
        <v>1</v>
      </c>
      <c r="B2" s="27" t="s">
        <v>135</v>
      </c>
      <c r="C2" s="50" t="s">
        <v>132</v>
      </c>
      <c r="D2" s="105" t="s">
        <v>130</v>
      </c>
      <c r="E2" s="78" t="s">
        <v>195</v>
      </c>
      <c r="F2" s="6" t="s">
        <v>11</v>
      </c>
      <c r="G2" s="45" t="s">
        <v>174</v>
      </c>
      <c r="H2" s="30" t="s">
        <v>30</v>
      </c>
      <c r="I2" s="16" t="s">
        <v>12</v>
      </c>
      <c r="J2" s="76" t="s">
        <v>177</v>
      </c>
      <c r="K2" s="47" t="s">
        <v>12</v>
      </c>
      <c r="L2" s="6" t="s">
        <v>176</v>
      </c>
      <c r="M2" s="45" t="s">
        <v>27</v>
      </c>
      <c r="N2" s="20" t="s">
        <v>12</v>
      </c>
      <c r="O2" s="48" t="s">
        <v>29</v>
      </c>
      <c r="P2" s="49" t="s">
        <v>12</v>
      </c>
      <c r="Q2" s="49" t="s">
        <v>12</v>
      </c>
      <c r="R2" s="25" t="s">
        <v>12</v>
      </c>
      <c r="S2" s="22" t="s">
        <v>29</v>
      </c>
      <c r="T2" s="15" t="s">
        <v>12</v>
      </c>
      <c r="U2" s="15" t="s">
        <v>12</v>
      </c>
      <c r="V2" s="15" t="s">
        <v>12</v>
      </c>
      <c r="W2" s="8" t="s">
        <v>175</v>
      </c>
      <c r="X2" s="8" t="s">
        <v>15</v>
      </c>
    </row>
    <row r="3" spans="1:24" ht="240.75" thickBot="1" x14ac:dyDescent="0.3">
      <c r="A3" s="54">
        <f>1+A2</f>
        <v>2</v>
      </c>
      <c r="B3" s="27" t="s">
        <v>136</v>
      </c>
      <c r="C3" s="50" t="s">
        <v>132</v>
      </c>
      <c r="D3" s="105" t="s">
        <v>130</v>
      </c>
      <c r="E3" s="78" t="s">
        <v>201</v>
      </c>
      <c r="F3" s="6" t="s">
        <v>11</v>
      </c>
      <c r="G3" s="45" t="s">
        <v>174</v>
      </c>
      <c r="H3" s="30" t="s">
        <v>30</v>
      </c>
      <c r="I3" s="16" t="s">
        <v>12</v>
      </c>
      <c r="J3" s="76" t="s">
        <v>177</v>
      </c>
      <c r="K3" s="47" t="s">
        <v>199</v>
      </c>
      <c r="L3" s="6" t="s">
        <v>200</v>
      </c>
      <c r="M3" s="45" t="s">
        <v>27</v>
      </c>
      <c r="N3" s="20" t="s">
        <v>12</v>
      </c>
      <c r="O3" s="48" t="s">
        <v>29</v>
      </c>
      <c r="P3" s="49" t="s">
        <v>12</v>
      </c>
      <c r="Q3" s="49" t="s">
        <v>12</v>
      </c>
      <c r="R3" s="25" t="s">
        <v>12</v>
      </c>
      <c r="S3" s="22" t="s">
        <v>29</v>
      </c>
      <c r="T3" s="15" t="s">
        <v>12</v>
      </c>
      <c r="U3" s="15" t="s">
        <v>12</v>
      </c>
      <c r="V3" s="15" t="s">
        <v>12</v>
      </c>
      <c r="W3" s="8" t="s">
        <v>175</v>
      </c>
      <c r="X3" s="8" t="s">
        <v>15</v>
      </c>
    </row>
  </sheetData>
  <autoFilter ref="A1:X2" xr:uid="{CF6684AF-4DD3-4B50-9D71-8055E9ACCAA4}"/>
  <phoneticPr fontId="8" type="noConversion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5EC58-8319-45DD-BCC8-AAAEA4BCADEA}">
  <dimension ref="A1:B8"/>
  <sheetViews>
    <sheetView workbookViewId="0">
      <selection activeCell="F36" sqref="F36"/>
    </sheetView>
  </sheetViews>
  <sheetFormatPr defaultRowHeight="15" x14ac:dyDescent="0.25"/>
  <sheetData>
    <row r="1" spans="1:2" x14ac:dyDescent="0.25">
      <c r="A1" s="2" t="s">
        <v>16</v>
      </c>
    </row>
    <row r="2" spans="1:2" x14ac:dyDescent="0.25">
      <c r="A2" s="1">
        <v>1</v>
      </c>
    </row>
    <row r="6" spans="1:2" x14ac:dyDescent="0.25">
      <c r="A6" s="2" t="s">
        <v>17</v>
      </c>
    </row>
    <row r="7" spans="1:2" x14ac:dyDescent="0.25">
      <c r="A7" s="1">
        <v>1</v>
      </c>
      <c r="B7" t="s">
        <v>18</v>
      </c>
    </row>
    <row r="8" spans="1:2" x14ac:dyDescent="0.25">
      <c r="A8" s="1">
        <v>2</v>
      </c>
      <c r="B8" t="s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F3CDA-62EC-4C57-B6AB-8F0CF90F2355}">
  <dimension ref="A1:F16"/>
  <sheetViews>
    <sheetView workbookViewId="0">
      <selection activeCell="B33" sqref="B33"/>
    </sheetView>
  </sheetViews>
  <sheetFormatPr defaultRowHeight="15" x14ac:dyDescent="0.25"/>
  <cols>
    <col min="1" max="1" width="51.140625" bestFit="1" customWidth="1"/>
    <col min="2" max="2" width="68" customWidth="1"/>
    <col min="3" max="3" width="59.28515625" customWidth="1"/>
    <col min="4" max="4" width="25.85546875" customWidth="1"/>
    <col min="5" max="5" width="21.85546875" customWidth="1"/>
    <col min="6" max="6" width="59.85546875" bestFit="1" customWidth="1"/>
  </cols>
  <sheetData>
    <row r="1" spans="1:6" x14ac:dyDescent="0.25">
      <c r="A1" t="s">
        <v>34</v>
      </c>
      <c r="D1" s="33"/>
    </row>
    <row r="2" spans="1:6" x14ac:dyDescent="0.25">
      <c r="A2">
        <v>1</v>
      </c>
      <c r="D2" s="33"/>
      <c r="E2">
        <v>2</v>
      </c>
    </row>
    <row r="3" spans="1:6" ht="39" customHeight="1" x14ac:dyDescent="0.25">
      <c r="A3" s="36" t="s">
        <v>39</v>
      </c>
      <c r="B3" s="37" t="s">
        <v>35</v>
      </c>
      <c r="C3" s="37" t="s">
        <v>82</v>
      </c>
      <c r="D3" s="38" t="s">
        <v>38</v>
      </c>
      <c r="E3" s="39" t="s">
        <v>60</v>
      </c>
      <c r="F3" s="37" t="s">
        <v>35</v>
      </c>
    </row>
    <row r="4" spans="1:6" ht="27.6" customHeight="1" x14ac:dyDescent="0.25">
      <c r="A4" t="s">
        <v>33</v>
      </c>
      <c r="B4" t="s">
        <v>51</v>
      </c>
      <c r="C4" t="s">
        <v>83</v>
      </c>
      <c r="D4" s="42" t="s">
        <v>85</v>
      </c>
      <c r="E4" t="s">
        <v>93</v>
      </c>
    </row>
    <row r="5" spans="1:6" x14ac:dyDescent="0.25">
      <c r="A5" s="34" t="s">
        <v>62</v>
      </c>
      <c r="B5" s="34" t="s">
        <v>81</v>
      </c>
      <c r="C5" s="34" t="s">
        <v>84</v>
      </c>
      <c r="D5" s="41" t="s">
        <v>86</v>
      </c>
      <c r="E5" t="s">
        <v>94</v>
      </c>
    </row>
    <row r="6" spans="1:6" x14ac:dyDescent="0.25">
      <c r="A6" t="s">
        <v>75</v>
      </c>
      <c r="B6" t="s">
        <v>36</v>
      </c>
      <c r="C6" t="s">
        <v>84</v>
      </c>
      <c r="D6" s="43" t="s">
        <v>87</v>
      </c>
      <c r="E6" t="s">
        <v>69</v>
      </c>
      <c r="F6" t="s">
        <v>66</v>
      </c>
    </row>
    <row r="7" spans="1:6" x14ac:dyDescent="0.25">
      <c r="A7" t="s">
        <v>76</v>
      </c>
      <c r="B7" t="s">
        <v>37</v>
      </c>
      <c r="C7" t="s">
        <v>84</v>
      </c>
      <c r="D7" s="43" t="s">
        <v>88</v>
      </c>
      <c r="E7" t="s">
        <v>70</v>
      </c>
    </row>
    <row r="8" spans="1:6" ht="30" x14ac:dyDescent="0.25">
      <c r="A8" t="s">
        <v>77</v>
      </c>
      <c r="B8" t="s">
        <v>79</v>
      </c>
      <c r="C8" t="s">
        <v>84</v>
      </c>
      <c r="D8" s="42" t="s">
        <v>89</v>
      </c>
      <c r="E8" t="s">
        <v>32</v>
      </c>
    </row>
    <row r="9" spans="1:6" x14ac:dyDescent="0.25">
      <c r="A9" t="s">
        <v>55</v>
      </c>
      <c r="B9" t="s">
        <v>57</v>
      </c>
      <c r="C9" t="s">
        <v>84</v>
      </c>
      <c r="D9" s="43" t="s">
        <v>90</v>
      </c>
      <c r="E9" t="s">
        <v>63</v>
      </c>
    </row>
    <row r="10" spans="1:6" x14ac:dyDescent="0.25">
      <c r="A10" s="34" t="s">
        <v>50</v>
      </c>
      <c r="B10" s="34" t="s">
        <v>80</v>
      </c>
      <c r="C10" s="34" t="s">
        <v>84</v>
      </c>
      <c r="D10" s="41">
        <v>3</v>
      </c>
      <c r="E10" t="s">
        <v>78</v>
      </c>
    </row>
    <row r="11" spans="1:6" x14ac:dyDescent="0.25">
      <c r="A11" s="34" t="s">
        <v>12</v>
      </c>
      <c r="B11" s="34" t="s">
        <v>56</v>
      </c>
      <c r="C11" t="s">
        <v>84</v>
      </c>
      <c r="D11" s="41">
        <v>1</v>
      </c>
      <c r="E11" t="s">
        <v>65</v>
      </c>
    </row>
    <row r="12" spans="1:6" ht="30" x14ac:dyDescent="0.25">
      <c r="A12" s="35" t="s">
        <v>58</v>
      </c>
      <c r="B12" s="40" t="s">
        <v>59</v>
      </c>
      <c r="C12" s="40" t="s">
        <v>84</v>
      </c>
      <c r="D12" s="44" t="s">
        <v>91</v>
      </c>
      <c r="E12" t="s">
        <v>64</v>
      </c>
    </row>
    <row r="13" spans="1:6" x14ac:dyDescent="0.25">
      <c r="A13" t="s">
        <v>74</v>
      </c>
      <c r="C13" t="s">
        <v>84</v>
      </c>
      <c r="D13" s="43" t="s">
        <v>92</v>
      </c>
      <c r="E13" t="s">
        <v>58</v>
      </c>
    </row>
    <row r="14" spans="1:6" x14ac:dyDescent="0.25">
      <c r="A14" t="s">
        <v>73</v>
      </c>
      <c r="C14" t="s">
        <v>84</v>
      </c>
      <c r="D14" s="43">
        <v>3</v>
      </c>
      <c r="E14" t="s">
        <v>74</v>
      </c>
    </row>
    <row r="15" spans="1:6" x14ac:dyDescent="0.25">
      <c r="A15" t="s">
        <v>71</v>
      </c>
      <c r="C15" t="s">
        <v>84</v>
      </c>
      <c r="D15" s="43">
        <v>1</v>
      </c>
      <c r="E15" t="s">
        <v>73</v>
      </c>
    </row>
    <row r="16" spans="1:6" x14ac:dyDescent="0.25">
      <c r="A16" s="34" t="s">
        <v>72</v>
      </c>
      <c r="B16" s="34"/>
      <c r="C16" s="34" t="s">
        <v>84</v>
      </c>
      <c r="D16" s="41">
        <v>1</v>
      </c>
      <c r="E16" t="s">
        <v>30</v>
      </c>
      <c r="F16" t="s">
        <v>61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03407-EE20-4026-B68E-D49BEFC3BCAB}">
  <sheetPr>
    <tabColor rgb="FF00B050"/>
  </sheetPr>
  <dimension ref="A1:B36"/>
  <sheetViews>
    <sheetView topLeftCell="A6" workbookViewId="0"/>
  </sheetViews>
  <sheetFormatPr defaultRowHeight="15" x14ac:dyDescent="0.25"/>
  <cols>
    <col min="1" max="1" width="14.28515625" bestFit="1" customWidth="1"/>
    <col min="2" max="3" width="22.28515625" bestFit="1" customWidth="1"/>
    <col min="4" max="4" width="21.5703125" bestFit="1" customWidth="1"/>
  </cols>
  <sheetData>
    <row r="1" spans="1:2" ht="15.75" thickBot="1" x14ac:dyDescent="0.3">
      <c r="A1" s="17" t="s">
        <v>40</v>
      </c>
      <c r="B1" s="18" t="s">
        <v>41</v>
      </c>
    </row>
    <row r="2" spans="1:2" x14ac:dyDescent="0.25">
      <c r="A2" s="58" t="s">
        <v>141</v>
      </c>
      <c r="B2" s="58" t="s">
        <v>138</v>
      </c>
    </row>
    <row r="3" spans="1:2" x14ac:dyDescent="0.25">
      <c r="A3" s="58" t="s">
        <v>142</v>
      </c>
      <c r="B3" s="58" t="s">
        <v>138</v>
      </c>
    </row>
    <row r="4" spans="1:2" x14ac:dyDescent="0.25">
      <c r="A4" s="58" t="s">
        <v>143</v>
      </c>
      <c r="B4" s="58" t="s">
        <v>138</v>
      </c>
    </row>
    <row r="5" spans="1:2" x14ac:dyDescent="0.25">
      <c r="A5" s="58" t="s">
        <v>144</v>
      </c>
      <c r="B5" s="58" t="s">
        <v>138</v>
      </c>
    </row>
    <row r="6" spans="1:2" x14ac:dyDescent="0.25">
      <c r="A6" s="59" t="s">
        <v>52</v>
      </c>
      <c r="B6" s="59" t="s">
        <v>54</v>
      </c>
    </row>
    <row r="7" spans="1:2" x14ac:dyDescent="0.25">
      <c r="A7" s="59" t="s">
        <v>53</v>
      </c>
      <c r="B7" s="59" t="s">
        <v>54</v>
      </c>
    </row>
    <row r="8" spans="1:2" x14ac:dyDescent="0.25">
      <c r="A8" s="58" t="s">
        <v>155</v>
      </c>
      <c r="B8" s="58" t="s">
        <v>154</v>
      </c>
    </row>
    <row r="9" spans="1:2" x14ac:dyDescent="0.25">
      <c r="A9" s="58" t="s">
        <v>156</v>
      </c>
      <c r="B9" s="58" t="s">
        <v>154</v>
      </c>
    </row>
    <row r="10" spans="1:2" x14ac:dyDescent="0.25">
      <c r="A10" s="58" t="s">
        <v>157</v>
      </c>
      <c r="B10" s="58" t="s">
        <v>154</v>
      </c>
    </row>
    <row r="11" spans="1:2" x14ac:dyDescent="0.25">
      <c r="A11" s="59" t="s">
        <v>159</v>
      </c>
      <c r="B11" s="59" t="s">
        <v>158</v>
      </c>
    </row>
    <row r="12" spans="1:2" x14ac:dyDescent="0.25">
      <c r="A12" s="59" t="s">
        <v>160</v>
      </c>
      <c r="B12" s="59" t="s">
        <v>158</v>
      </c>
    </row>
    <row r="13" spans="1:2" x14ac:dyDescent="0.25">
      <c r="A13" s="58" t="s">
        <v>145</v>
      </c>
      <c r="B13" s="58" t="s">
        <v>140</v>
      </c>
    </row>
    <row r="14" spans="1:2" x14ac:dyDescent="0.25">
      <c r="A14" s="58" t="s">
        <v>152</v>
      </c>
      <c r="B14" s="58" t="s">
        <v>140</v>
      </c>
    </row>
    <row r="15" spans="1:2" x14ac:dyDescent="0.25">
      <c r="A15" s="58" t="s">
        <v>146</v>
      </c>
      <c r="B15" s="58" t="s">
        <v>140</v>
      </c>
    </row>
    <row r="16" spans="1:2" x14ac:dyDescent="0.25">
      <c r="A16" s="59" t="s">
        <v>147</v>
      </c>
      <c r="B16" s="59" t="s">
        <v>139</v>
      </c>
    </row>
    <row r="17" spans="1:2" x14ac:dyDescent="0.25">
      <c r="A17" s="59" t="s">
        <v>161</v>
      </c>
      <c r="B17" s="59" t="s">
        <v>139</v>
      </c>
    </row>
    <row r="18" spans="1:2" x14ac:dyDescent="0.25">
      <c r="A18" s="59" t="s">
        <v>148</v>
      </c>
      <c r="B18" s="59" t="s">
        <v>139</v>
      </c>
    </row>
    <row r="19" spans="1:2" x14ac:dyDescent="0.25">
      <c r="A19" s="59" t="s">
        <v>149</v>
      </c>
      <c r="B19" s="59" t="s">
        <v>139</v>
      </c>
    </row>
    <row r="20" spans="1:2" x14ac:dyDescent="0.25">
      <c r="A20" s="58" t="s">
        <v>42</v>
      </c>
      <c r="B20" s="58" t="s">
        <v>48</v>
      </c>
    </row>
    <row r="21" spans="1:2" x14ac:dyDescent="0.25">
      <c r="A21" s="58" t="s">
        <v>162</v>
      </c>
      <c r="B21" s="58" t="s">
        <v>48</v>
      </c>
    </row>
    <row r="22" spans="1:2" x14ac:dyDescent="0.25">
      <c r="A22" s="58" t="s">
        <v>43</v>
      </c>
      <c r="B22" s="58" t="s">
        <v>48</v>
      </c>
    </row>
    <row r="23" spans="1:2" x14ac:dyDescent="0.25">
      <c r="A23" s="58" t="s">
        <v>44</v>
      </c>
      <c r="B23" s="58" t="s">
        <v>48</v>
      </c>
    </row>
    <row r="24" spans="1:2" x14ac:dyDescent="0.25">
      <c r="A24" s="58" t="s">
        <v>150</v>
      </c>
      <c r="B24" s="58" t="s">
        <v>48</v>
      </c>
    </row>
    <row r="25" spans="1:2" x14ac:dyDescent="0.25">
      <c r="A25" s="59" t="s">
        <v>45</v>
      </c>
      <c r="B25" s="59" t="s">
        <v>49</v>
      </c>
    </row>
    <row r="26" spans="1:2" x14ac:dyDescent="0.25">
      <c r="A26" s="59" t="s">
        <v>46</v>
      </c>
      <c r="B26" s="59" t="s">
        <v>49</v>
      </c>
    </row>
    <row r="27" spans="1:2" x14ac:dyDescent="0.25">
      <c r="A27" s="59" t="s">
        <v>47</v>
      </c>
      <c r="B27" s="59" t="s">
        <v>49</v>
      </c>
    </row>
    <row r="28" spans="1:2" x14ac:dyDescent="0.25">
      <c r="A28" s="59" t="s">
        <v>151</v>
      </c>
      <c r="B28" s="59" t="s">
        <v>49</v>
      </c>
    </row>
    <row r="29" spans="1:2" x14ac:dyDescent="0.25">
      <c r="A29" s="58" t="s">
        <v>164</v>
      </c>
      <c r="B29" s="58" t="s">
        <v>163</v>
      </c>
    </row>
    <row r="30" spans="1:2" x14ac:dyDescent="0.25">
      <c r="A30" s="58" t="s">
        <v>165</v>
      </c>
      <c r="B30" s="58" t="s">
        <v>163</v>
      </c>
    </row>
    <row r="31" spans="1:2" x14ac:dyDescent="0.25">
      <c r="A31" s="58" t="s">
        <v>166</v>
      </c>
      <c r="B31" s="58" t="s">
        <v>163</v>
      </c>
    </row>
    <row r="32" spans="1:2" x14ac:dyDescent="0.25">
      <c r="A32" s="59" t="s">
        <v>168</v>
      </c>
      <c r="B32" s="59" t="s">
        <v>167</v>
      </c>
    </row>
    <row r="33" spans="1:2" x14ac:dyDescent="0.25">
      <c r="A33" s="59" t="s">
        <v>169</v>
      </c>
      <c r="B33" s="59" t="s">
        <v>167</v>
      </c>
    </row>
    <row r="34" spans="1:2" x14ac:dyDescent="0.25">
      <c r="A34" s="59" t="s">
        <v>170</v>
      </c>
      <c r="B34" s="59" t="s">
        <v>167</v>
      </c>
    </row>
    <row r="35" spans="1:2" x14ac:dyDescent="0.25">
      <c r="A35" s="58" t="s">
        <v>172</v>
      </c>
      <c r="B35" s="58" t="s">
        <v>171</v>
      </c>
    </row>
    <row r="36" spans="1:2" x14ac:dyDescent="0.25">
      <c r="A36" s="58" t="s">
        <v>173</v>
      </c>
      <c r="B36" s="58" t="s">
        <v>171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74FB0E003A88C4B9D9793633BA4B356" ma:contentTypeVersion="12" ma:contentTypeDescription="Create a new document." ma:contentTypeScope="" ma:versionID="47be61afb57dbdcdac73424092eefa1c">
  <xsd:schema xmlns:xsd="http://www.w3.org/2001/XMLSchema" xmlns:xs="http://www.w3.org/2001/XMLSchema" xmlns:p="http://schemas.microsoft.com/office/2006/metadata/properties" xmlns:ns2="0d55314f-45f1-40c9-9fce-63556e193d03" targetNamespace="http://schemas.microsoft.com/office/2006/metadata/properties" ma:root="true" ma:fieldsID="2e59f5c7e704c6a619606efe0cdd9ac5" ns2:_="">
    <xsd:import namespace="0d55314f-45f1-40c9-9fce-63556e193d0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55314f-45f1-40c9-9fce-63556e193d0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d55314f-45f1-40c9-9fce-63556e193d0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FA60399-BAA7-4FCF-8888-18E09CD7F3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d55314f-45f1-40c9-9fce-63556e193d0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37BB656-2721-4BD0-8785-0BA8A3850935}">
  <ds:schemaRefs>
    <ds:schemaRef ds:uri="http://schemas.microsoft.com/office/2006/metadata/properties"/>
    <ds:schemaRef ds:uri="http://schemas.microsoft.com/office/infopath/2007/PartnerControls"/>
    <ds:schemaRef ds:uri="a1fcbaaf-06d9-47c4-b3a2-beefbc45d784"/>
    <ds:schemaRef ds:uri="0d55314f-45f1-40c9-9fce-63556e193d03"/>
  </ds:schemaRefs>
</ds:datastoreItem>
</file>

<file path=customXml/itemProps3.xml><?xml version="1.0" encoding="utf-8"?>
<ds:datastoreItem xmlns:ds="http://schemas.openxmlformats.org/officeDocument/2006/customXml" ds:itemID="{7CDB4E45-9540-4F73-BB3C-AF833098C6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Indications</vt:lpstr>
      <vt:lpstr>Sequences</vt:lpstr>
      <vt:lpstr>Outcomes</vt:lpstr>
      <vt:lpstr>Qs_and_Notes</vt:lpstr>
      <vt:lpstr>Command_Desc</vt:lpstr>
      <vt:lpstr>Set_Matching_4_Param_Mult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Fernando Victor</dc:creator>
  <cp:lastModifiedBy>Andrey Salazar-Vargas</cp:lastModifiedBy>
  <dcterms:created xsi:type="dcterms:W3CDTF">2015-06-05T18:17:20Z</dcterms:created>
  <dcterms:modified xsi:type="dcterms:W3CDTF">2025-11-06T20:41:28Z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0x010100F74FB0E003A88C4B9D9793633BA4B356</vt:lpwstr>
  </property>
</Properties>
</file>