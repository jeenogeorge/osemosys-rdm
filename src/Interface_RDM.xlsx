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CCG_RDM\src\"/>
    </mc:Choice>
  </mc:AlternateContent>
  <xr:revisionPtr revIDLastSave="0" documentId="13_ncr:1_{A9883719-64C7-4DD7-9651-73DD60BF814C}" xr6:coauthVersionLast="47" xr6:coauthVersionMax="47" xr10:uidLastSave="{00000000-0000-0000-0000-000000000000}"/>
  <bookViews>
    <workbookView xWindow="-108" yWindow="-108" windowWidth="23256" windowHeight="12456" tabRatio="727" activeTab="1" xr2:uid="{A38498C0-325E-4D75-9B65-6D8B75ECDFF0}"/>
  </bookViews>
  <sheets>
    <sheet name="Uncertainty_Table" sheetId="13" r:id="rId1"/>
    <sheet name="Setup" sheetId="3" r:id="rId2"/>
    <sheet name="To_Print" sheetId="12" r:id="rId3"/>
    <sheet name="Params_Sets_Vari" sheetId="14" r:id="rId4"/>
  </sheets>
  <definedNames>
    <definedName name="_xlnm._FilterDatabase" localSheetId="0" hidden="1">Uncertainty_Table!$A$1:$N$36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<sst xmlns="http://schemas.openxmlformats.org/spreadsheetml/2006/main" count="392" uniqueCount="198">
  <si>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</si>
  <si>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</si>
  <si>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</si>
  <si>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</si>
  <si>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</si>
  <si>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</si>
  <si>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</si>
  <si>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</si>
  <si>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</si>
  <si>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</si>
  <si>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</si>
  <si>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</si>
  <si>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-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</si>
  <si>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</si>
  <si>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</si>
  <si>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</si>
  <si>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</si>
  <si>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</si>
  <si>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</si>
  <si>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</si>
  <si>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</si>
  <si>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</si>
  <si>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Scenario1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</si>
  <si>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</si>
  <si>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</si>
  <si>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</si>
  <si>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</si>
  <si>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</si>
  <si>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</si>
  <si>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</si>
  <si>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</si>
  <si>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</si>
  <si>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</si>
  <si>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</si>
  <si>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</si>
  <si>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</si>
  <si>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</si>
  <si>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</si>
  <si>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</si>
  <si>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</si>
  <si>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</si>
  <si>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</si>
  <si>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</si>
  <si>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</si>
  <si>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</si>
  <si>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</si>
  <si>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</si>
  <si>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</si>
  <si>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</si>
  <si>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</si>
  <si>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</si>
  <si>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</si>
  <si>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</si>
  <si>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</si>
  <si>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</si>
  <si>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</si>
  <si>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</si>
  <si>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</si>
  <si>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</si>
  <si>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</si>
  <si>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</si>
  <si>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</si>
  <si>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</si>
  <si>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</si>
  <si>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</si>
  <si>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</si>
  <si>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</si>
  <si>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</si>
  <si>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</si>
  <si>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</si>
  <si>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</si>
  <si>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</si>
  <si>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</si>
  <si>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</si>
  <si>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</si>
  <si>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</si>
  <si>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</si>
  <si>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</si>
  <si>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</si>
  <si>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</si>
  <si>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</si>
  <si>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</si>
  <si>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</si>
  <si>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</si>
  <si>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</si>
  <si>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</si>
  <si>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</si>
  <si>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</si>
  <si>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</si>
  <si>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</si>
  <si>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</si>
  <si>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</si>
  <si>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</si>
  <si>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</si>
  <si>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</si>
  <si>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</si>
  <si>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</si>
  <si>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</si>
  <si>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</si>
  <si>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</si>
  <si>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</si>
  <si>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</si>
  <si>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</si>
  <si>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</si>
  <si>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</si>
  <si>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</si>
  <si>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</si>
  <si>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</si>
  <si>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</si>
  <si>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</si>
  <si>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</si>
  <si>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</si>
  <si>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</si>
  <si>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</si>
  <si>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</si>
  <si>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</si>
  <si>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Capital cost for NUCLEAR</t>
  </si>
  <si>
    <t>Capital Cost of competing technologies</t>
  </si>
  <si>
    <t xml:space="preserve"> RSA_POW_PP_HYDR ; RSA_POW_PP_CSP ; RSA_POW_PP_PV_UT ; RSA_POW_PP_PV_DIST ; RSA_POW_PP_WIND ; RSA_POW_STO_BAT_OUT ; RSA_POW_STO_PHY_OUT</t>
  </si>
  <si>
    <t>Fixed Cost</t>
  </si>
  <si>
    <t>Fixed Cost of competing technologies</t>
  </si>
  <si>
    <t xml:space="preserve"> RSA_POW_PP_HYDR ; RSA_POW_PP_CSP ; RSA_POW_PP_PV_UT ; RSA_POW_PP_PV_DIST ; RSA_POW_PP_WIND </t>
  </si>
  <si>
    <t>Variable Cost</t>
  </si>
  <si>
    <t>Variable Cost of competing technologies</t>
  </si>
  <si>
    <t xml:space="preserve"> RSA_POW_PP_HYDR ; RSA_POW_PP_CSP ; RSA_FUEL_PRO_NG  </t>
  </si>
  <si>
    <t>Capital Cost of competing technologies  FOSSIL</t>
  </si>
  <si>
    <t xml:space="preserve">RSA_POW_PP_COAL ; RSA_POW_PP_MMG ; RSA_POW_PP_PEAK </t>
  </si>
  <si>
    <t>Fixed Cost of competing technologies   FOSSIL</t>
  </si>
  <si>
    <t>Variable Cost of competing technologies   FOSSIL</t>
  </si>
  <si>
    <t>RSA_FUEL_PRO_COAL ; RSA_POW_PP_COAL ; RSA_POW_PP_MMG ; RSA_POW_PP_PEAK ; RSA_FUEL_PRO_DSL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</si>
  <si>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</si>
  <si>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</si>
  <si>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</si>
  <si>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</si>
  <si>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</si>
  <si>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</si>
  <si>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</si>
  <si>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</si>
  <si>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</si>
  <si>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</si>
  <si>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</si>
  <si>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Reserve Margin</t>
  </si>
  <si>
    <t>Minimum non-intermittent capacity  the system should have</t>
  </si>
  <si>
    <t>RSA_POW_TD</t>
  </si>
  <si>
    <t>Cost of Transimission grids</t>
  </si>
  <si>
    <t>Variable cost of interconnectors Export  Import</t>
  </si>
  <si>
    <t>RSA_POW_INT</t>
  </si>
  <si>
    <t>RSA_POW_PP_NU_OLD ; RSA_POW_PP_NU ; RSA_POW_PP_NU_SMR</t>
  </si>
  <si>
    <t>MINLFSMR</t>
  </si>
  <si>
    <t>RSA_POW_PP_NU_SMR</t>
  </si>
  <si>
    <t>Activity Upper Limit</t>
  </si>
  <si>
    <t>Degree of interconnectedness for Export  Import</t>
  </si>
  <si>
    <t>Demand Profile</t>
  </si>
  <si>
    <t>Timeslices_Curve</t>
  </si>
  <si>
    <t>Change_Curve</t>
  </si>
  <si>
    <t>RSA_POW_ELEF</t>
  </si>
  <si>
    <t>1) Select a curve from "shape_of_demand.xlsx". 2) The curve of the selected timeslices in the column “CF_timeslices” is changed to the selected curve of “shape_of_demand.xlsx”.</t>
  </si>
  <si>
    <t>Specified Demand Profile of technologies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</si>
  <si>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</si>
  <si>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</si>
  <si>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</si>
  <si>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</si>
  <si>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</si>
  <si>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</si>
  <si>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</si>
  <si>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</si>
  <si>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</si>
  <si>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</si>
  <si>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</si>
  <si>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</si>
  <si>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</si>
  <si>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</si>
  <si>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</si>
  <si>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1 ; 2</t>
  </si>
  <si>
    <t>Capital Cost Storage</t>
  </si>
  <si>
    <t>Capital Cost of competing technologies  storage</t>
  </si>
  <si>
    <t>RSA_POW_STO_BAT ; RSA_POW_STO_PHY</t>
  </si>
  <si>
    <t>Capacity Factor</t>
  </si>
  <si>
    <t>RSA_POW_PP_HYDR</t>
  </si>
  <si>
    <t>Activity Ratio of Inputs</t>
  </si>
  <si>
    <t>Factor of Capacities</t>
  </si>
  <si>
    <t>RSA_POW_PP_COAL ; RSA_POW_PP_MMG</t>
  </si>
  <si>
    <t>RSA_FUEL_COAL ; RSA_POW_H2</t>
  </si>
  <si>
    <t>Input Activity Ratio</t>
  </si>
  <si>
    <t>Emission Penalty</t>
  </si>
  <si>
    <t>Penalty to Emissions</t>
  </si>
  <si>
    <t>RSA_CO2</t>
  </si>
  <si>
    <t>Emission Activity Ratio</t>
  </si>
  <si>
    <t>RSA_FUEL_PRO_COAL</t>
  </si>
  <si>
    <t>Constant</t>
  </si>
  <si>
    <t>Time_Series</t>
  </si>
  <si>
    <t>Logistic</t>
  </si>
  <si>
    <t>Linear</t>
  </si>
  <si>
    <t>All</t>
  </si>
  <si>
    <t>ALL</t>
  </si>
  <si>
    <t>cplex</t>
  </si>
  <si>
    <t>No</t>
  </si>
  <si>
    <t>model.v.5.3.txt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</si>
</sst>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7" xfId="0" quotePrefix="1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1" fillId="4" borderId="5" xfId="0" applyFont="1" applyFill="1" applyBorder="1" applyAlignment="1">
      <alignment horizontal="center" vertical="center" wrapText="1"/>
    </xf>
    <xf numFmtId="20" fontId="0" fillId="4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36"/>
  <sheetViews>
    <sheetView zoomScale="90" zoomScaleNormal="90" workbookViewId="0">
      <selection activeCell="K15" sqref="K15"/>
    </sheetView>
  </sheetViews>
  <sheetFormatPr defaultRowHeight="14.4" x14ac:dyDescent="0.3"/>
  <cols>
    <col min="1" max="1" width="9.5546875" style="26" customWidth="1"/>
    <col min="2" max="2" width="19.88671875" style="4" customWidth="1"/>
    <col min="3" max="3" width="35.5546875" style="36" bestFit="1" customWidth="1"/>
    <col min="4" max="4" width="24.44140625" style="37" bestFit="1" customWidth="1"/>
    <col min="5" max="5" width="27.44140625" style="37" bestFit="1" customWidth="1"/>
    <col min="6" max="6" width="32.109375" style="37" bestFit="1" customWidth="1"/>
    <col min="7" max="7" width="32.109375" style="37" customWidth="1"/>
    <col min="8" max="8" width="13.5546875" style="37" bestFit="1" customWidth="1"/>
    <col min="9" max="9" width="14.44140625" style="37" bestFit="1" customWidth="1"/>
    <col min="10" max="10" width="51" style="37" bestFit="1" customWidth="1"/>
    <col min="11" max="11" width="79.6640625" style="38" bestFit="1" customWidth="1"/>
    <col min="12" max="12" width="49" style="38" bestFit="1" customWidth="1"/>
    <col min="13" max="13" width="45.88671875" style="37" bestFit="1" customWidth="1"/>
    <col min="14" max="14" width="44" style="27" bestFit="1" customWidth="1"/>
  </cols>
  <sheetData>
    <row r="1" spans="1:15" s="4" customFormat="1" x14ac:dyDescent="0.3">
      <c r="A1" s="28" t="s">
        <v>0</v>
      </c>
      <c r="B1" s="29" t="s">
        <v>1</v>
      </c>
      <c r="C1" s="35" t="s">
        <v>2</v>
      </c>
      <c r="D1" s="29" t="s">
        <v>3</v>
      </c>
      <c r="E1" s="29" t="s">
        <v>4</v>
      </c>
      <c r="F1" s="29" t="s">
        <v>5</v>
      </c>
      <c r="G1" s="50" t="s">
        <v>18</v>
      </c>
      <c r="H1" s="29" t="s">
        <v>6</v>
      </c>
      <c r="I1" s="29" t="s">
        <v>7</v>
      </c>
      <c r="J1" s="29" t="s">
        <v>8</v>
      </c>
      <c r="K1" s="35" t="s">
        <v>172</v>
      </c>
      <c r="L1" s="54" t="s">
        <v>170</v>
      </c>
      <c r="M1" s="50" t="s">
        <v>171</v>
      </c>
      <c r="N1" s="33" t="s">
        <v>9</v>
      </c>
    </row>
    <row r="2" spans="1:15" s="1" customFormat="1" ht="43.2" x14ac:dyDescent="0.3">
      <c r="A2" s="30">
        <v>1</v>
      </c>
      <c r="B2" s="31" t="s">
        <v>23</v>
      </c>
      <c r="C2" s="32" t="s">
        <v>116</v>
      </c>
      <c r="D2" s="31" t="s">
        <v>22</v>
      </c>
      <c r="E2" s="31" t="s">
        <v>191</v>
      </c>
      <c r="F2" s="31" t="s">
        <v>10</v>
      </c>
      <c r="G2" s="43">
        <v>2026</v>
      </c>
      <c r="H2" s="31">
        <v>0.5</v>
      </c>
      <c r="I2" s="31">
        <v>1</v>
      </c>
      <c r="J2" s="31" t="s">
        <v>11</v>
      </c>
      <c r="K2" s="32" t="s">
        <v>147</v>
      </c>
      <c r="L2" s="43" t="s">
        <v>12</v>
      </c>
      <c r="M2" s="43" t="s">
        <v>12</v>
      </c>
      <c r="N2" s="34" t="s">
        <v>13</v>
      </c>
    </row>
    <row r="3" spans="1:15" s="1" customFormat="1" ht="83.4" customHeight="1" x14ac:dyDescent="0.3">
      <c r="A3" s="47">
        <v>2</v>
      </c>
      <c r="B3" s="43" t="s">
        <v>23</v>
      </c>
      <c r="C3" s="44" t="s">
        <v>117</v>
      </c>
      <c r="D3" s="43" t="s">
        <v>22</v>
      </c>
      <c r="E3" s="43" t="s">
        <v>189</v>
      </c>
      <c r="F3" s="43" t="s">
        <v>10</v>
      </c>
      <c r="G3" s="43">
        <v>2026</v>
      </c>
      <c r="H3" s="43">
        <v>0.8</v>
      </c>
      <c r="I3" s="43">
        <v>1.2</v>
      </c>
      <c r="J3" s="43" t="s">
        <v>11</v>
      </c>
      <c r="K3" s="44" t="s">
        <v>118</v>
      </c>
      <c r="L3" s="43" t="s">
        <v>12</v>
      </c>
      <c r="M3" s="43" t="s">
        <v>12</v>
      </c>
      <c r="N3" s="49" t="s">
        <v>13</v>
      </c>
    </row>
    <row r="4" spans="1:15" s="1" customFormat="1" ht="98.4" customHeight="1" x14ac:dyDescent="0.3">
      <c r="A4" s="47">
        <v>3</v>
      </c>
      <c r="B4" s="43" t="s">
        <v>119</v>
      </c>
      <c r="C4" s="44" t="s">
        <v>120</v>
      </c>
      <c r="D4" s="43" t="s">
        <v>22</v>
      </c>
      <c r="E4" s="43" t="s">
        <v>189</v>
      </c>
      <c r="F4" s="43" t="s">
        <v>10</v>
      </c>
      <c r="G4" s="43">
        <v>2030</v>
      </c>
      <c r="H4" s="43">
        <v>0.8</v>
      </c>
      <c r="I4" s="43">
        <v>1.2</v>
      </c>
      <c r="J4" s="43" t="s">
        <v>14</v>
      </c>
      <c r="K4" s="44" t="s">
        <v>121</v>
      </c>
      <c r="L4" s="43" t="s">
        <v>12</v>
      </c>
      <c r="M4" s="43" t="s">
        <v>12</v>
      </c>
      <c r="N4" s="49" t="s">
        <v>13</v>
      </c>
    </row>
    <row r="5" spans="1:15" s="1" customFormat="1" ht="60.9" customHeight="1" x14ac:dyDescent="0.3">
      <c r="A5" s="47">
        <v>4</v>
      </c>
      <c r="B5" s="43" t="s">
        <v>122</v>
      </c>
      <c r="C5" s="44" t="s">
        <v>123</v>
      </c>
      <c r="D5" s="43" t="s">
        <v>22</v>
      </c>
      <c r="E5" s="43" t="s">
        <v>189</v>
      </c>
      <c r="F5" s="43" t="s">
        <v>10</v>
      </c>
      <c r="G5" s="43">
        <v>2028</v>
      </c>
      <c r="H5" s="43">
        <v>0.8</v>
      </c>
      <c r="I5" s="43">
        <v>1.2</v>
      </c>
      <c r="J5" s="43" t="s">
        <v>15</v>
      </c>
      <c r="K5" s="44" t="s">
        <v>124</v>
      </c>
      <c r="L5" s="55" t="s">
        <v>173</v>
      </c>
      <c r="M5" s="43" t="s">
        <v>12</v>
      </c>
      <c r="N5" s="49" t="s">
        <v>13</v>
      </c>
    </row>
    <row r="6" spans="1:15" s="1" customFormat="1" ht="60.9" customHeight="1" x14ac:dyDescent="0.3">
      <c r="A6" s="47">
        <v>5</v>
      </c>
      <c r="B6" s="43" t="s">
        <v>23</v>
      </c>
      <c r="C6" s="44" t="s">
        <v>125</v>
      </c>
      <c r="D6" s="43" t="s">
        <v>22</v>
      </c>
      <c r="E6" s="43" t="s">
        <v>190</v>
      </c>
      <c r="F6" s="43" t="s">
        <v>10</v>
      </c>
      <c r="G6" s="43">
        <v>2028</v>
      </c>
      <c r="H6" s="43">
        <v>0.8</v>
      </c>
      <c r="I6" s="43">
        <v>1.2</v>
      </c>
      <c r="J6" s="43" t="s">
        <v>11</v>
      </c>
      <c r="K6" s="44" t="s">
        <v>126</v>
      </c>
      <c r="L6" s="43" t="s">
        <v>12</v>
      </c>
      <c r="M6" s="43" t="s">
        <v>12</v>
      </c>
      <c r="N6" s="49" t="s">
        <v>13</v>
      </c>
    </row>
    <row r="7" spans="1:15" s="1" customFormat="1" ht="60.9" customHeight="1" x14ac:dyDescent="0.3">
      <c r="A7" s="47">
        <v>6</v>
      </c>
      <c r="B7" s="43" t="s">
        <v>119</v>
      </c>
      <c r="C7" s="44" t="s">
        <v>127</v>
      </c>
      <c r="D7" s="43" t="s">
        <v>22</v>
      </c>
      <c r="E7" s="43" t="s">
        <v>192</v>
      </c>
      <c r="F7" s="43" t="s">
        <v>10</v>
      </c>
      <c r="G7" s="43">
        <v>2030</v>
      </c>
      <c r="H7" s="43">
        <v>0.8</v>
      </c>
      <c r="I7" s="43">
        <v>1.2</v>
      </c>
      <c r="J7" s="43" t="s">
        <v>14</v>
      </c>
      <c r="K7" s="44" t="s">
        <v>126</v>
      </c>
      <c r="L7" s="43" t="s">
        <v>12</v>
      </c>
      <c r="M7" s="43" t="s">
        <v>12</v>
      </c>
      <c r="N7" s="49" t="s">
        <v>13</v>
      </c>
    </row>
    <row r="8" spans="1:15" s="1" customFormat="1" ht="60.9" customHeight="1" x14ac:dyDescent="0.3">
      <c r="A8" s="30">
        <v>7</v>
      </c>
      <c r="B8" s="31" t="s">
        <v>122</v>
      </c>
      <c r="C8" s="32" t="s">
        <v>128</v>
      </c>
      <c r="D8" s="31" t="s">
        <v>22</v>
      </c>
      <c r="E8" s="31" t="s">
        <v>190</v>
      </c>
      <c r="F8" s="31" t="s">
        <v>10</v>
      </c>
      <c r="G8" s="43">
        <v>2028</v>
      </c>
      <c r="H8" s="31">
        <v>0.8</v>
      </c>
      <c r="I8" s="31">
        <v>1.2</v>
      </c>
      <c r="J8" s="31" t="s">
        <v>15</v>
      </c>
      <c r="K8" s="32" t="s">
        <v>129</v>
      </c>
      <c r="L8" s="43" t="s">
        <v>173</v>
      </c>
      <c r="M8" s="43" t="s">
        <v>12</v>
      </c>
      <c r="N8" s="34" t="s">
        <v>13</v>
      </c>
    </row>
    <row r="9" spans="1:15" s="16" customFormat="1" ht="43.2" x14ac:dyDescent="0.3">
      <c r="A9" s="30">
        <v>8</v>
      </c>
      <c r="B9" s="31" t="s">
        <v>174</v>
      </c>
      <c r="C9" s="32" t="s">
        <v>175</v>
      </c>
      <c r="D9" s="31" t="s">
        <v>22</v>
      </c>
      <c r="E9" s="31" t="s">
        <v>190</v>
      </c>
      <c r="F9" s="31" t="s">
        <v>10</v>
      </c>
      <c r="G9" s="43">
        <v>2025</v>
      </c>
      <c r="H9" s="31">
        <v>0.8</v>
      </c>
      <c r="I9" s="31">
        <v>1.2</v>
      </c>
      <c r="J9" s="31" t="s">
        <v>36</v>
      </c>
      <c r="K9" s="32" t="s">
        <v>176</v>
      </c>
      <c r="L9" s="43" t="s">
        <v>12</v>
      </c>
      <c r="M9" s="43" t="s">
        <v>12</v>
      </c>
      <c r="N9" s="34" t="s">
        <v>13</v>
      </c>
    </row>
    <row r="10" spans="1:15" s="1" customFormat="1" ht="43.2" x14ac:dyDescent="0.3">
      <c r="A10" s="47">
        <v>9</v>
      </c>
      <c r="B10" s="42" t="s">
        <v>141</v>
      </c>
      <c r="C10" s="48" t="s">
        <v>142</v>
      </c>
      <c r="D10" s="42" t="s">
        <v>22</v>
      </c>
      <c r="E10" s="42" t="s">
        <v>190</v>
      </c>
      <c r="F10" s="42" t="s">
        <v>10</v>
      </c>
      <c r="G10" s="43">
        <v>2034</v>
      </c>
      <c r="H10" s="42">
        <v>0.7</v>
      </c>
      <c r="I10" s="42">
        <v>1.2</v>
      </c>
      <c r="J10" s="42" t="s">
        <v>138</v>
      </c>
      <c r="K10" s="48" t="s">
        <v>149</v>
      </c>
      <c r="L10" s="42" t="s">
        <v>148</v>
      </c>
      <c r="M10" s="42" t="s">
        <v>12</v>
      </c>
      <c r="N10" s="49" t="s">
        <v>13</v>
      </c>
      <c r="O10" s="36"/>
    </row>
    <row r="11" spans="1:15" s="1" customFormat="1" ht="43.2" x14ac:dyDescent="0.3">
      <c r="A11" s="17">
        <v>10</v>
      </c>
      <c r="B11" s="18" t="s">
        <v>23</v>
      </c>
      <c r="C11" s="19" t="s">
        <v>144</v>
      </c>
      <c r="D11" s="20" t="s">
        <v>22</v>
      </c>
      <c r="E11" s="31" t="s">
        <v>190</v>
      </c>
      <c r="F11" s="20" t="s">
        <v>10</v>
      </c>
      <c r="G11" s="43">
        <v>2026</v>
      </c>
      <c r="H11" s="20">
        <v>1</v>
      </c>
      <c r="I11" s="20">
        <v>3</v>
      </c>
      <c r="J11" s="18" t="s">
        <v>11</v>
      </c>
      <c r="K11" s="19" t="s">
        <v>143</v>
      </c>
      <c r="L11" s="51" t="s">
        <v>12</v>
      </c>
      <c r="M11" s="51" t="s">
        <v>12</v>
      </c>
      <c r="N11" s="21" t="s">
        <v>13</v>
      </c>
    </row>
    <row r="12" spans="1:15" s="16" customFormat="1" ht="43.2" x14ac:dyDescent="0.3">
      <c r="A12" s="30">
        <v>11</v>
      </c>
      <c r="B12" s="31" t="s">
        <v>122</v>
      </c>
      <c r="C12" s="32" t="s">
        <v>145</v>
      </c>
      <c r="D12" s="15" t="s">
        <v>22</v>
      </c>
      <c r="E12" s="31" t="s">
        <v>190</v>
      </c>
      <c r="F12" s="15" t="s">
        <v>10</v>
      </c>
      <c r="G12" s="43">
        <v>2028</v>
      </c>
      <c r="H12" s="31">
        <v>0.8</v>
      </c>
      <c r="I12" s="31">
        <v>1.2</v>
      </c>
      <c r="J12" s="31" t="s">
        <v>15</v>
      </c>
      <c r="K12" s="32" t="s">
        <v>146</v>
      </c>
      <c r="L12" s="43" t="s">
        <v>173</v>
      </c>
      <c r="M12" s="43" t="s">
        <v>12</v>
      </c>
      <c r="N12" s="34" t="s">
        <v>13</v>
      </c>
    </row>
    <row r="13" spans="1:15" ht="43.2" x14ac:dyDescent="0.3">
      <c r="A13" s="22">
        <v>12</v>
      </c>
      <c r="B13" s="23" t="s">
        <v>150</v>
      </c>
      <c r="C13" s="24" t="s">
        <v>151</v>
      </c>
      <c r="D13" s="15" t="s">
        <v>22</v>
      </c>
      <c r="E13" s="31" t="s">
        <v>190</v>
      </c>
      <c r="F13" s="15" t="s">
        <v>10</v>
      </c>
      <c r="G13" s="43">
        <v>2040</v>
      </c>
      <c r="H13" s="31">
        <v>0.8</v>
      </c>
      <c r="I13" s="31">
        <v>1.2</v>
      </c>
      <c r="J13" s="23" t="s">
        <v>68</v>
      </c>
      <c r="K13" s="32" t="s">
        <v>146</v>
      </c>
      <c r="L13" s="40" t="s">
        <v>12</v>
      </c>
      <c r="M13" s="40" t="s">
        <v>12</v>
      </c>
      <c r="N13" s="25" t="s">
        <v>13</v>
      </c>
      <c r="O13" s="36"/>
    </row>
    <row r="14" spans="1:15" s="1" customFormat="1" ht="57.6" x14ac:dyDescent="0.3">
      <c r="A14" s="39">
        <v>13</v>
      </c>
      <c r="B14" s="40" t="s">
        <v>152</v>
      </c>
      <c r="C14" s="41" t="s">
        <v>157</v>
      </c>
      <c r="D14" s="42" t="s">
        <v>22</v>
      </c>
      <c r="E14" s="42" t="s">
        <v>153</v>
      </c>
      <c r="F14" s="42" t="s">
        <v>154</v>
      </c>
      <c r="G14" s="42">
        <v>2036</v>
      </c>
      <c r="H14" s="43">
        <v>0.8</v>
      </c>
      <c r="I14" s="43">
        <v>1.2</v>
      </c>
      <c r="J14" s="40" t="s">
        <v>55</v>
      </c>
      <c r="K14" s="44" t="s">
        <v>155</v>
      </c>
      <c r="L14" s="40" t="s">
        <v>194</v>
      </c>
      <c r="M14" s="45" t="s">
        <v>12</v>
      </c>
      <c r="N14" s="46" t="s">
        <v>156</v>
      </c>
    </row>
    <row r="15" spans="1:15" s="1" customFormat="1" ht="57.6" x14ac:dyDescent="0.3">
      <c r="A15" s="39">
        <v>14</v>
      </c>
      <c r="B15" s="40" t="s">
        <v>177</v>
      </c>
      <c r="C15" s="41" t="s">
        <v>180</v>
      </c>
      <c r="D15" s="42" t="s">
        <v>22</v>
      </c>
      <c r="E15" s="42" t="s">
        <v>190</v>
      </c>
      <c r="F15" s="42" t="s">
        <v>10</v>
      </c>
      <c r="G15" s="42">
        <v>2029</v>
      </c>
      <c r="H15" s="43">
        <v>0.8</v>
      </c>
      <c r="I15" s="43">
        <v>1.2</v>
      </c>
      <c r="J15" s="40" t="s">
        <v>33</v>
      </c>
      <c r="K15" s="44" t="s">
        <v>178</v>
      </c>
      <c r="L15" s="40" t="s">
        <v>193</v>
      </c>
      <c r="M15" s="45" t="s">
        <v>12</v>
      </c>
      <c r="N15" s="46" t="s">
        <v>156</v>
      </c>
    </row>
    <row r="16" spans="1:15" s="1" customFormat="1" ht="57.6" x14ac:dyDescent="0.3">
      <c r="A16" s="39">
        <v>15</v>
      </c>
      <c r="B16" s="40" t="s">
        <v>183</v>
      </c>
      <c r="C16" s="41" t="s">
        <v>179</v>
      </c>
      <c r="D16" s="42" t="s">
        <v>22</v>
      </c>
      <c r="E16" s="42" t="s">
        <v>190</v>
      </c>
      <c r="F16" s="42" t="s">
        <v>10</v>
      </c>
      <c r="G16" s="42">
        <v>2025</v>
      </c>
      <c r="H16" s="43">
        <v>0.8</v>
      </c>
      <c r="I16" s="43">
        <v>1.2</v>
      </c>
      <c r="J16" s="40" t="s">
        <v>46</v>
      </c>
      <c r="K16" s="44" t="s">
        <v>181</v>
      </c>
      <c r="L16" s="40" t="s">
        <v>182</v>
      </c>
      <c r="M16" s="45" t="s">
        <v>173</v>
      </c>
      <c r="N16" s="46" t="s">
        <v>156</v>
      </c>
    </row>
    <row r="17" spans="1:14" s="1" customFormat="1" ht="57.6" x14ac:dyDescent="0.3">
      <c r="A17" s="39">
        <v>16</v>
      </c>
      <c r="B17" s="40" t="s">
        <v>184</v>
      </c>
      <c r="C17" s="41" t="s">
        <v>185</v>
      </c>
      <c r="D17" s="42" t="s">
        <v>22</v>
      </c>
      <c r="E17" s="42" t="s">
        <v>190</v>
      </c>
      <c r="F17" s="42" t="s">
        <v>10</v>
      </c>
      <c r="G17" s="42">
        <v>2027</v>
      </c>
      <c r="H17" s="43">
        <v>0.8</v>
      </c>
      <c r="I17" s="43">
        <v>1.2</v>
      </c>
      <c r="J17" s="40" t="s">
        <v>45</v>
      </c>
      <c r="K17" s="44" t="s">
        <v>186</v>
      </c>
      <c r="L17" s="40" t="s">
        <v>12</v>
      </c>
      <c r="M17" s="45" t="s">
        <v>12</v>
      </c>
      <c r="N17" s="46" t="s">
        <v>156</v>
      </c>
    </row>
    <row r="18" spans="1:14" s="1" customFormat="1" ht="57.6" x14ac:dyDescent="0.3">
      <c r="A18" s="39">
        <v>17</v>
      </c>
      <c r="B18" s="40" t="s">
        <v>187</v>
      </c>
      <c r="C18" s="41" t="s">
        <v>185</v>
      </c>
      <c r="D18" s="42" t="s">
        <v>22</v>
      </c>
      <c r="E18" s="42" t="s">
        <v>190</v>
      </c>
      <c r="F18" s="42" t="s">
        <v>10</v>
      </c>
      <c r="G18" s="42">
        <v>2023</v>
      </c>
      <c r="H18" s="43">
        <v>0.8</v>
      </c>
      <c r="I18" s="43">
        <v>1.2</v>
      </c>
      <c r="J18" s="40" t="s">
        <v>44</v>
      </c>
      <c r="K18" s="44" t="s">
        <v>188</v>
      </c>
      <c r="L18" s="40" t="s">
        <v>186</v>
      </c>
      <c r="M18" s="45" t="s">
        <v>173</v>
      </c>
      <c r="N18" s="46" t="s">
        <v>156</v>
      </c>
    </row>
    <row r="19" spans="1:14" s="1" customFormat="1" x14ac:dyDescent="0.3">
      <c r="A19" s="30"/>
      <c r="B19" s="31"/>
      <c r="C19" s="32"/>
      <c r="D19" s="31"/>
      <c r="E19" s="31"/>
      <c r="F19" s="31"/>
      <c r="G19" s="31"/>
      <c r="H19" s="31"/>
      <c r="I19" s="31"/>
      <c r="J19" s="31"/>
      <c r="K19" s="32"/>
      <c r="L19" s="32"/>
      <c r="M19" s="31"/>
      <c r="N19" s="34"/>
    </row>
    <row r="20" spans="1:14" s="1" customFormat="1" x14ac:dyDescent="0.3">
      <c r="A20" s="30"/>
      <c r="B20" s="31"/>
      <c r="C20" s="32"/>
      <c r="D20" s="31"/>
      <c r="E20" s="31"/>
      <c r="F20" s="31"/>
      <c r="G20" s="31"/>
      <c r="H20" s="31"/>
      <c r="I20" s="31"/>
      <c r="J20" s="31"/>
      <c r="K20" s="32"/>
      <c r="L20" s="32"/>
      <c r="M20" s="31"/>
      <c r="N20" s="34"/>
    </row>
    <row r="21" spans="1:14" s="1" customFormat="1" x14ac:dyDescent="0.3">
      <c r="A21" s="30"/>
      <c r="B21" s="31"/>
      <c r="C21" s="32"/>
      <c r="D21" s="31"/>
      <c r="E21" s="31"/>
      <c r="F21" s="31"/>
      <c r="G21" s="31"/>
      <c r="H21" s="31"/>
      <c r="I21" s="31"/>
      <c r="J21" s="31"/>
      <c r="K21" s="32"/>
      <c r="L21" s="32"/>
      <c r="M21" s="31"/>
      <c r="N21" s="34"/>
    </row>
    <row r="22" spans="1:14" s="1" customFormat="1" x14ac:dyDescent="0.3">
      <c r="A22" s="30"/>
      <c r="B22" s="31"/>
      <c r="C22" s="32"/>
      <c r="D22" s="31"/>
      <c r="E22" s="31"/>
      <c r="F22" s="31"/>
      <c r="G22" s="31"/>
      <c r="H22" s="31"/>
      <c r="I22" s="31"/>
      <c r="J22" s="31"/>
      <c r="K22" s="32"/>
      <c r="L22" s="32"/>
      <c r="M22" s="31"/>
      <c r="N22" s="34"/>
    </row>
    <row r="23" spans="1:14" s="1" customFormat="1" x14ac:dyDescent="0.3">
      <c r="A23" s="30"/>
      <c r="B23" s="31"/>
      <c r="C23" s="32"/>
      <c r="D23" s="31"/>
      <c r="E23" s="31"/>
      <c r="F23" s="31"/>
      <c r="G23" s="31"/>
      <c r="H23" s="31"/>
      <c r="I23" s="31"/>
      <c r="J23" s="31"/>
      <c r="K23" s="32"/>
      <c r="L23" s="32"/>
      <c r="M23" s="31"/>
      <c r="N23" s="34"/>
    </row>
    <row r="24" spans="1:14" s="1" customFormat="1" x14ac:dyDescent="0.3">
      <c r="A24" s="30"/>
      <c r="B24" s="31"/>
      <c r="C24" s="32"/>
      <c r="D24" s="31"/>
      <c r="E24" s="31"/>
      <c r="F24" s="31"/>
      <c r="G24" s="31"/>
      <c r="H24" s="31"/>
      <c r="I24" s="31"/>
      <c r="J24" s="31"/>
      <c r="K24" s="32"/>
      <c r="L24" s="32"/>
      <c r="M24" s="31"/>
      <c r="N24" s="34"/>
    </row>
    <row r="25" spans="1:14" s="1" customFormat="1" x14ac:dyDescent="0.3">
      <c r="A25" s="30"/>
      <c r="B25" s="31"/>
      <c r="C25" s="32"/>
      <c r="D25" s="31"/>
      <c r="E25" s="31"/>
      <c r="F25" s="31"/>
      <c r="G25" s="31"/>
      <c r="H25" s="31"/>
      <c r="I25" s="31"/>
      <c r="J25" s="31"/>
      <c r="K25" s="32"/>
      <c r="L25" s="32"/>
      <c r="M25" s="31"/>
      <c r="N25" s="34"/>
    </row>
    <row r="26" spans="1:14" s="1" customFormat="1" x14ac:dyDescent="0.3">
      <c r="A26" s="30"/>
      <c r="B26" s="31"/>
      <c r="C26" s="32"/>
      <c r="D26" s="31"/>
      <c r="E26" s="31"/>
      <c r="F26" s="31"/>
      <c r="G26" s="31"/>
      <c r="H26" s="31"/>
      <c r="I26" s="31"/>
      <c r="J26" s="31"/>
      <c r="K26" s="32"/>
      <c r="L26" s="32"/>
      <c r="M26" s="31"/>
      <c r="N26" s="34"/>
    </row>
    <row r="27" spans="1:14" s="1" customFormat="1" x14ac:dyDescent="0.3">
      <c r="A27" s="30"/>
      <c r="B27" s="31"/>
      <c r="C27" s="32"/>
      <c r="D27" s="31"/>
      <c r="E27" s="31"/>
      <c r="F27" s="31"/>
      <c r="G27" s="31"/>
      <c r="H27" s="31"/>
      <c r="I27" s="31"/>
      <c r="J27" s="31"/>
      <c r="K27" s="32"/>
      <c r="L27" s="32"/>
      <c r="M27" s="31"/>
      <c r="N27" s="34"/>
    </row>
    <row r="28" spans="1:14" s="1" customFormat="1" x14ac:dyDescent="0.3">
      <c r="A28" s="30"/>
      <c r="B28" s="31"/>
      <c r="C28" s="32"/>
      <c r="D28" s="31"/>
      <c r="E28" s="31"/>
      <c r="F28" s="31"/>
      <c r="G28" s="31"/>
      <c r="H28" s="31"/>
      <c r="I28" s="31"/>
      <c r="J28" s="31"/>
      <c r="K28" s="32"/>
      <c r="L28" s="32"/>
      <c r="M28" s="31"/>
      <c r="N28" s="34"/>
    </row>
    <row r="29" spans="1:14" s="1" customFormat="1" x14ac:dyDescent="0.3">
      <c r="A29" s="30"/>
      <c r="B29" s="31"/>
      <c r="C29" s="32"/>
      <c r="D29" s="31"/>
      <c r="E29" s="31"/>
      <c r="F29" s="31"/>
      <c r="G29" s="31"/>
      <c r="H29" s="31"/>
      <c r="I29" s="31"/>
      <c r="J29" s="31"/>
      <c r="K29" s="32"/>
      <c r="L29" s="32"/>
      <c r="M29" s="31"/>
      <c r="N29" s="34"/>
    </row>
    <row r="30" spans="1:14" s="1" customFormat="1" x14ac:dyDescent="0.3">
      <c r="A30" s="30"/>
      <c r="B30" s="31"/>
      <c r="C30" s="32"/>
      <c r="D30" s="31"/>
      <c r="E30" s="31"/>
      <c r="F30" s="31"/>
      <c r="G30" s="31"/>
      <c r="H30" s="31"/>
      <c r="I30" s="31"/>
      <c r="J30" s="31"/>
      <c r="K30" s="32"/>
      <c r="L30" s="32"/>
      <c r="M30" s="31"/>
      <c r="N30" s="34"/>
    </row>
    <row r="31" spans="1:14" s="1" customFormat="1" x14ac:dyDescent="0.3">
      <c r="A31" s="30"/>
      <c r="B31" s="31"/>
      <c r="C31" s="32"/>
      <c r="D31" s="31"/>
      <c r="E31" s="31"/>
      <c r="F31" s="31"/>
      <c r="G31" s="31"/>
      <c r="H31" s="31"/>
      <c r="I31" s="31"/>
      <c r="J31" s="31"/>
      <c r="K31" s="32"/>
      <c r="L31" s="32"/>
      <c r="M31" s="31"/>
      <c r="N31" s="34"/>
    </row>
    <row r="32" spans="1:14" s="1" customFormat="1" x14ac:dyDescent="0.3">
      <c r="A32" s="30"/>
      <c r="B32" s="31"/>
      <c r="C32" s="32"/>
      <c r="D32" s="31"/>
      <c r="E32" s="31"/>
      <c r="F32" s="31"/>
      <c r="G32" s="31"/>
      <c r="H32" s="31"/>
      <c r="I32" s="31"/>
      <c r="J32" s="31"/>
      <c r="K32" s="32"/>
      <c r="L32" s="32"/>
      <c r="M32" s="31"/>
      <c r="N32" s="34"/>
    </row>
    <row r="33" spans="1:14" s="1" customFormat="1" x14ac:dyDescent="0.3">
      <c r="A33" s="30"/>
      <c r="B33" s="31"/>
      <c r="C33" s="32"/>
      <c r="D33" s="31"/>
      <c r="E33" s="31"/>
      <c r="F33" s="31"/>
      <c r="G33" s="31"/>
      <c r="H33" s="31"/>
      <c r="I33" s="31"/>
      <c r="J33" s="31"/>
      <c r="K33" s="32"/>
      <c r="L33" s="32"/>
      <c r="M33" s="31"/>
      <c r="N33" s="34"/>
    </row>
    <row r="34" spans="1:14" s="1" customFormat="1" x14ac:dyDescent="0.3">
      <c r="A34" s="30"/>
      <c r="B34" s="31"/>
      <c r="C34" s="32"/>
      <c r="D34" s="31"/>
      <c r="E34" s="31"/>
      <c r="F34" s="31"/>
      <c r="G34" s="31"/>
      <c r="H34" s="31"/>
      <c r="I34" s="31"/>
      <c r="J34" s="31"/>
      <c r="K34" s="32"/>
      <c r="L34" s="32"/>
      <c r="M34" s="31"/>
      <c r="N34" s="34"/>
    </row>
    <row r="35" spans="1:14" s="1" customFormat="1" x14ac:dyDescent="0.3">
      <c r="A35" s="30"/>
      <c r="B35" s="31"/>
      <c r="C35" s="32"/>
      <c r="D35" s="31"/>
      <c r="E35" s="31"/>
      <c r="F35" s="31"/>
      <c r="G35" s="31"/>
      <c r="H35" s="31"/>
      <c r="I35" s="31"/>
      <c r="J35" s="31"/>
      <c r="K35" s="32"/>
      <c r="L35" s="32"/>
      <c r="M35" s="31"/>
      <c r="N35" s="34"/>
    </row>
    <row r="36" spans="1:14" s="1" customFormat="1" x14ac:dyDescent="0.3">
      <c r="A36" s="30"/>
      <c r="B36" s="31"/>
      <c r="C36" s="32"/>
      <c r="D36" s="31"/>
      <c r="E36" s="31"/>
      <c r="F36" s="31"/>
      <c r="G36" s="31"/>
      <c r="H36" s="31"/>
      <c r="I36" s="31"/>
      <c r="J36" s="31"/>
      <c r="K36" s="32"/>
      <c r="L36" s="32"/>
      <c r="M36" s="31"/>
      <c r="N36" s="34"/>
    </row>
  </sheetData>
  <phoneticPr fontId="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E2" sqref="E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</cols>
  <sheetData>
    <row r="1" spans="1:9" ht="15" thickBot="1" x14ac:dyDescent="0.35">
      <c r="A1" s="2" t="s">
        <v>16</v>
      </c>
      <c r="B1" s="2" t="s">
        <v>17</v>
      </c>
      <c r="C1" s="5" t="s">
        <v>19</v>
      </c>
      <c r="D1" s="7" t="s">
        <v>20</v>
      </c>
      <c r="E1" s="8" t="s">
        <v>24</v>
      </c>
      <c r="F1" s="11" t="s">
        <v>25</v>
      </c>
      <c r="G1" s="12" t="s">
        <v>26</v>
      </c>
      <c r="H1" s="12" t="s">
        <v>28</v>
      </c>
      <c r="I1" s="14" t="s">
        <v>73</v>
      </c>
    </row>
    <row r="2" spans="1:9" ht="15" thickBot="1" x14ac:dyDescent="0.35">
      <c r="A2" s="3">
        <v>1</v>
      </c>
      <c r="B2" s="3" t="s">
        <v>21</v>
      </c>
      <c r="C2" s="6">
        <v>1</v>
      </c>
      <c r="D2" s="9">
        <v>1</v>
      </c>
      <c r="E2" s="10">
        <v>8</v>
      </c>
      <c r="F2" s="13" t="s">
        <v>27</v>
      </c>
      <c r="G2" s="3" t="s">
        <v>196</v>
      </c>
      <c r="H2" s="3" t="s">
        <v>195</v>
      </c>
      <c r="I2" s="3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A38" sqref="A38"/>
    </sheetView>
  </sheetViews>
  <sheetFormatPr defaultRowHeight="14.4" x14ac:dyDescent="0.3"/>
  <cols>
    <col min="1" max="1" width="36.6640625" bestFit="1" customWidth="1"/>
    <col min="2" max="2" width="6.44140625" style="4" bestFit="1" customWidth="1"/>
  </cols>
  <sheetData>
    <row r="1" spans="1:2" x14ac:dyDescent="0.3">
      <c r="A1" t="s">
        <v>29</v>
      </c>
      <c r="B1" s="4" t="s">
        <v>114</v>
      </c>
    </row>
    <row r="2" spans="1:2" x14ac:dyDescent="0.3">
      <c r="A2" t="s">
        <v>74</v>
      </c>
    </row>
    <row r="3" spans="1:2" x14ac:dyDescent="0.3">
      <c r="A3" t="s">
        <v>75</v>
      </c>
      <c r="B3" s="4" t="s">
        <v>115</v>
      </c>
    </row>
    <row r="4" spans="1:2" x14ac:dyDescent="0.3">
      <c r="A4" t="s">
        <v>76</v>
      </c>
      <c r="B4" s="4" t="s">
        <v>115</v>
      </c>
    </row>
    <row r="5" spans="1:2" x14ac:dyDescent="0.3">
      <c r="A5" t="s">
        <v>77</v>
      </c>
    </row>
    <row r="6" spans="1:2" x14ac:dyDescent="0.3">
      <c r="A6" t="s">
        <v>78</v>
      </c>
      <c r="B6" s="4" t="s">
        <v>115</v>
      </c>
    </row>
    <row r="7" spans="1:2" x14ac:dyDescent="0.3">
      <c r="A7" t="s">
        <v>79</v>
      </c>
      <c r="B7" s="4" t="s">
        <v>115</v>
      </c>
    </row>
    <row r="8" spans="1:2" x14ac:dyDescent="0.3">
      <c r="A8" t="s">
        <v>80</v>
      </c>
    </row>
    <row r="9" spans="1:2" x14ac:dyDescent="0.3">
      <c r="A9" t="s">
        <v>81</v>
      </c>
    </row>
    <row r="10" spans="1:2" x14ac:dyDescent="0.3">
      <c r="A10" t="s">
        <v>82</v>
      </c>
    </row>
    <row r="11" spans="1:2" x14ac:dyDescent="0.3">
      <c r="A11" t="s">
        <v>83</v>
      </c>
    </row>
    <row r="12" spans="1:2" x14ac:dyDescent="0.3">
      <c r="A12" t="s">
        <v>84</v>
      </c>
      <c r="B12" s="4" t="s">
        <v>115</v>
      </c>
    </row>
    <row r="13" spans="1:2" x14ac:dyDescent="0.3">
      <c r="A13" t="s">
        <v>85</v>
      </c>
    </row>
    <row r="14" spans="1:2" x14ac:dyDescent="0.3">
      <c r="A14" t="s">
        <v>86</v>
      </c>
    </row>
    <row r="15" spans="1:2" x14ac:dyDescent="0.3">
      <c r="A15" t="s">
        <v>87</v>
      </c>
    </row>
    <row r="16" spans="1:2" x14ac:dyDescent="0.3">
      <c r="A16" t="s">
        <v>88</v>
      </c>
    </row>
    <row r="17" spans="1:2" x14ac:dyDescent="0.3">
      <c r="A17" t="s">
        <v>89</v>
      </c>
    </row>
    <row r="18" spans="1:2" x14ac:dyDescent="0.3">
      <c r="A18" t="s">
        <v>90</v>
      </c>
    </row>
    <row r="19" spans="1:2" x14ac:dyDescent="0.3">
      <c r="A19" t="s">
        <v>91</v>
      </c>
      <c r="B19" s="4" t="s">
        <v>115</v>
      </c>
    </row>
    <row r="20" spans="1:2" x14ac:dyDescent="0.3">
      <c r="A20" t="s">
        <v>92</v>
      </c>
      <c r="B20" s="4" t="s">
        <v>115</v>
      </c>
    </row>
    <row r="21" spans="1:2" x14ac:dyDescent="0.3">
      <c r="A21" t="s">
        <v>93</v>
      </c>
    </row>
    <row r="22" spans="1:2" x14ac:dyDescent="0.3">
      <c r="A22" t="s">
        <v>94</v>
      </c>
    </row>
    <row r="23" spans="1:2" x14ac:dyDescent="0.3">
      <c r="A23" t="s">
        <v>95</v>
      </c>
    </row>
    <row r="24" spans="1:2" x14ac:dyDescent="0.3">
      <c r="A24" t="s">
        <v>96</v>
      </c>
    </row>
    <row r="25" spans="1:2" x14ac:dyDescent="0.3">
      <c r="A25" t="s">
        <v>97</v>
      </c>
    </row>
    <row r="26" spans="1:2" x14ac:dyDescent="0.3">
      <c r="A26" t="s">
        <v>98</v>
      </c>
    </row>
    <row r="27" spans="1:2" x14ac:dyDescent="0.3">
      <c r="A27" t="s">
        <v>99</v>
      </c>
    </row>
    <row r="28" spans="1:2" x14ac:dyDescent="0.3">
      <c r="A28" t="s">
        <v>100</v>
      </c>
    </row>
    <row r="29" spans="1:2" x14ac:dyDescent="0.3">
      <c r="A29" t="s">
        <v>101</v>
      </c>
    </row>
    <row r="30" spans="1:2" x14ac:dyDescent="0.3">
      <c r="A30" t="s">
        <v>102</v>
      </c>
    </row>
    <row r="31" spans="1:2" x14ac:dyDescent="0.3">
      <c r="A31" t="s">
        <v>103</v>
      </c>
    </row>
    <row r="32" spans="1:2" x14ac:dyDescent="0.3">
      <c r="A32" t="s">
        <v>104</v>
      </c>
    </row>
    <row r="33" spans="1:2" x14ac:dyDescent="0.3">
      <c r="A33" t="s">
        <v>105</v>
      </c>
    </row>
    <row r="34" spans="1:2" x14ac:dyDescent="0.3">
      <c r="A34" t="s">
        <v>106</v>
      </c>
    </row>
    <row r="35" spans="1:2" x14ac:dyDescent="0.3">
      <c r="A35" t="s">
        <v>107</v>
      </c>
    </row>
    <row r="36" spans="1:2" x14ac:dyDescent="0.3">
      <c r="A36" t="s">
        <v>108</v>
      </c>
    </row>
    <row r="37" spans="1:2" x14ac:dyDescent="0.3">
      <c r="A37" t="s">
        <v>109</v>
      </c>
    </row>
    <row r="38" spans="1:2" x14ac:dyDescent="0.3">
      <c r="A38" t="s">
        <v>110</v>
      </c>
      <c r="B38" s="4" t="s">
        <v>115</v>
      </c>
    </row>
    <row r="39" spans="1:2" x14ac:dyDescent="0.3">
      <c r="A39" t="s">
        <v>111</v>
      </c>
    </row>
    <row r="40" spans="1:2" x14ac:dyDescent="0.3">
      <c r="A40" t="s">
        <v>112</v>
      </c>
    </row>
    <row r="41" spans="1:2" x14ac:dyDescent="0.3">
      <c r="A41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AA1" workbookViewId="0">
      <selection activeCell="AJ1" sqref="AJ1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158</v>
      </c>
      <c r="B1" t="s">
        <v>72</v>
      </c>
      <c r="C1" s="52" t="s">
        <v>43</v>
      </c>
      <c r="D1" s="52" t="s">
        <v>130</v>
      </c>
      <c r="E1" s="52" t="s">
        <v>71</v>
      </c>
      <c r="F1" s="52" t="s">
        <v>42</v>
      </c>
      <c r="G1" s="52" t="s">
        <v>39</v>
      </c>
      <c r="H1" s="52" t="s">
        <v>37</v>
      </c>
      <c r="I1" s="52" t="s">
        <v>38</v>
      </c>
      <c r="J1" t="s">
        <v>40</v>
      </c>
      <c r="K1" t="s">
        <v>41</v>
      </c>
      <c r="L1" t="s">
        <v>54</v>
      </c>
      <c r="M1" t="s">
        <v>55</v>
      </c>
      <c r="N1" t="s">
        <v>30</v>
      </c>
      <c r="O1" s="52" t="s">
        <v>35</v>
      </c>
      <c r="P1" s="52" t="s">
        <v>140</v>
      </c>
      <c r="Q1" t="s">
        <v>34</v>
      </c>
      <c r="R1" t="s">
        <v>33</v>
      </c>
      <c r="S1" t="s">
        <v>32</v>
      </c>
      <c r="T1" s="52" t="s">
        <v>49</v>
      </c>
      <c r="U1" t="s">
        <v>52</v>
      </c>
      <c r="V1" t="s">
        <v>46</v>
      </c>
      <c r="W1" t="s">
        <v>132</v>
      </c>
      <c r="X1" t="s">
        <v>133</v>
      </c>
      <c r="Y1" t="s">
        <v>51</v>
      </c>
      <c r="Z1" s="52" t="s">
        <v>134</v>
      </c>
      <c r="AA1" t="s">
        <v>11</v>
      </c>
      <c r="AB1" t="s">
        <v>15</v>
      </c>
      <c r="AC1" t="s">
        <v>14</v>
      </c>
      <c r="AD1" t="s">
        <v>36</v>
      </c>
      <c r="AE1" t="s">
        <v>63</v>
      </c>
      <c r="AF1" t="s">
        <v>65</v>
      </c>
      <c r="AG1" t="s">
        <v>64</v>
      </c>
      <c r="AH1" t="s">
        <v>66</v>
      </c>
      <c r="AI1" t="s">
        <v>68</v>
      </c>
      <c r="AJ1" t="s">
        <v>67</v>
      </c>
      <c r="AK1" t="s">
        <v>70</v>
      </c>
      <c r="AL1" t="s">
        <v>69</v>
      </c>
      <c r="AM1" t="s">
        <v>44</v>
      </c>
      <c r="AN1" t="s">
        <v>31</v>
      </c>
      <c r="AO1" s="52" t="s">
        <v>48</v>
      </c>
      <c r="AP1" t="s">
        <v>45</v>
      </c>
      <c r="AQ1" t="s">
        <v>131</v>
      </c>
      <c r="AR1" s="52" t="s">
        <v>57</v>
      </c>
      <c r="AS1" s="52" t="s">
        <v>58</v>
      </c>
      <c r="AT1" s="52" t="s">
        <v>56</v>
      </c>
      <c r="AU1" t="s">
        <v>47</v>
      </c>
      <c r="AV1" s="52" t="s">
        <v>50</v>
      </c>
      <c r="AW1" t="s">
        <v>36</v>
      </c>
      <c r="AX1" t="s">
        <v>53</v>
      </c>
      <c r="AY1" t="s">
        <v>62</v>
      </c>
      <c r="AZ1" t="s">
        <v>61</v>
      </c>
      <c r="BA1" t="s">
        <v>59</v>
      </c>
      <c r="BB1" t="s">
        <v>60</v>
      </c>
      <c r="BC1" s="53" t="s">
        <v>135</v>
      </c>
      <c r="BD1" s="53" t="s">
        <v>136</v>
      </c>
      <c r="BE1" s="53" t="s">
        <v>137</v>
      </c>
      <c r="BF1" s="53" t="s">
        <v>138</v>
      </c>
      <c r="BG1" s="52" t="s">
        <v>139</v>
      </c>
    </row>
    <row r="2" spans="1:59" x14ac:dyDescent="0.3">
      <c r="A2" t="s">
        <v>159</v>
      </c>
      <c r="B2">
        <f t="shared" ref="B2:AQ2" si="0">+COUNTA(B3:B1048576)</f>
        <v>1</v>
      </c>
      <c r="C2" s="52">
        <f t="shared" si="0"/>
        <v>1</v>
      </c>
      <c r="D2" s="52">
        <f t="shared" si="0"/>
        <v>1</v>
      </c>
      <c r="E2" s="52">
        <f t="shared" si="0"/>
        <v>1</v>
      </c>
      <c r="F2" s="52">
        <f t="shared" si="0"/>
        <v>1</v>
      </c>
      <c r="G2" s="52">
        <f t="shared" si="0"/>
        <v>1</v>
      </c>
      <c r="H2" s="52">
        <f t="shared" si="0"/>
        <v>1</v>
      </c>
      <c r="I2" s="52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52">
        <f t="shared" si="0"/>
        <v>1</v>
      </c>
      <c r="P2" s="52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52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52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52">
        <f t="shared" si="0"/>
        <v>1</v>
      </c>
      <c r="AP2">
        <f t="shared" si="0"/>
        <v>1</v>
      </c>
      <c r="AQ2">
        <f t="shared" si="0"/>
        <v>3</v>
      </c>
      <c r="AR2" s="52">
        <f>+COUNTA(AR3:AR5)</f>
        <v>3</v>
      </c>
      <c r="AS2" s="52">
        <f>+COUNTA(AS3:AS5)</f>
        <v>3</v>
      </c>
      <c r="AT2" s="52">
        <f t="shared" ref="AT2:BG2" si="1">+COUNTA(AT3:AT6)</f>
        <v>1</v>
      </c>
      <c r="AU2">
        <f t="shared" si="1"/>
        <v>1</v>
      </c>
      <c r="AV2" s="52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53">
        <f t="shared" si="1"/>
        <v>1</v>
      </c>
      <c r="BD2" s="53">
        <f t="shared" si="1"/>
        <v>2</v>
      </c>
      <c r="BE2" s="53">
        <f t="shared" si="1"/>
        <v>2</v>
      </c>
      <c r="BF2" s="53">
        <f t="shared" si="1"/>
        <v>2</v>
      </c>
      <c r="BG2" s="52">
        <f t="shared" si="1"/>
        <v>2</v>
      </c>
    </row>
    <row r="3" spans="1:59" x14ac:dyDescent="0.3">
      <c r="B3" t="s">
        <v>160</v>
      </c>
      <c r="C3" s="52" t="s">
        <v>161</v>
      </c>
      <c r="D3" s="52" t="s">
        <v>161</v>
      </c>
      <c r="E3" s="52" t="s">
        <v>161</v>
      </c>
      <c r="F3" s="52" t="s">
        <v>161</v>
      </c>
      <c r="G3" s="52" t="s">
        <v>160</v>
      </c>
      <c r="H3" s="52" t="s">
        <v>160</v>
      </c>
      <c r="I3" s="52" t="s">
        <v>160</v>
      </c>
      <c r="J3" t="s">
        <v>162</v>
      </c>
      <c r="K3" t="s">
        <v>163</v>
      </c>
      <c r="L3" t="s">
        <v>164</v>
      </c>
      <c r="M3" t="s">
        <v>164</v>
      </c>
      <c r="N3" t="s">
        <v>164</v>
      </c>
      <c r="O3" s="52" t="s">
        <v>161</v>
      </c>
      <c r="P3" s="52" t="s">
        <v>161</v>
      </c>
      <c r="Q3" t="s">
        <v>165</v>
      </c>
      <c r="R3" t="s">
        <v>165</v>
      </c>
      <c r="S3" t="s">
        <v>165</v>
      </c>
      <c r="T3" s="52" t="s">
        <v>161</v>
      </c>
      <c r="U3" t="s">
        <v>165</v>
      </c>
      <c r="V3" t="s">
        <v>165</v>
      </c>
      <c r="W3" t="s">
        <v>165</v>
      </c>
      <c r="X3" t="s">
        <v>165</v>
      </c>
      <c r="Y3" t="s">
        <v>165</v>
      </c>
      <c r="Z3" s="52" t="s">
        <v>161</v>
      </c>
      <c r="AA3" t="s">
        <v>165</v>
      </c>
      <c r="AB3" t="s">
        <v>165</v>
      </c>
      <c r="AC3" t="s">
        <v>165</v>
      </c>
      <c r="AD3" t="s">
        <v>166</v>
      </c>
      <c r="AE3" t="s">
        <v>165</v>
      </c>
      <c r="AF3" t="s">
        <v>165</v>
      </c>
      <c r="AG3" t="s">
        <v>165</v>
      </c>
      <c r="AH3" t="s">
        <v>165</v>
      </c>
      <c r="AI3" t="s">
        <v>165</v>
      </c>
      <c r="AJ3" t="s">
        <v>165</v>
      </c>
      <c r="AK3" t="s">
        <v>165</v>
      </c>
      <c r="AL3" t="s">
        <v>165</v>
      </c>
      <c r="AM3" t="s">
        <v>165</v>
      </c>
      <c r="AN3" t="s">
        <v>167</v>
      </c>
      <c r="AO3" s="52" t="s">
        <v>167</v>
      </c>
      <c r="AP3" t="s">
        <v>167</v>
      </c>
      <c r="AQ3" t="s">
        <v>165</v>
      </c>
      <c r="AR3" s="52" t="s">
        <v>165</v>
      </c>
      <c r="AS3" s="52" t="s">
        <v>165</v>
      </c>
      <c r="AT3" s="52" t="s">
        <v>166</v>
      </c>
      <c r="AU3" t="s">
        <v>166</v>
      </c>
      <c r="AV3" s="52" t="s">
        <v>161</v>
      </c>
      <c r="AW3" t="s">
        <v>166</v>
      </c>
      <c r="AX3" t="s">
        <v>166</v>
      </c>
      <c r="AY3" t="s">
        <v>165</v>
      </c>
      <c r="AZ3" t="s">
        <v>165</v>
      </c>
      <c r="BA3" t="s">
        <v>165</v>
      </c>
      <c r="BB3" t="s">
        <v>165</v>
      </c>
      <c r="BC3" s="53" t="s">
        <v>168</v>
      </c>
      <c r="BD3" s="53" t="s">
        <v>165</v>
      </c>
      <c r="BE3" s="53" t="s">
        <v>165</v>
      </c>
      <c r="BF3" s="53" t="s">
        <v>165</v>
      </c>
      <c r="BG3" s="52" t="s">
        <v>161</v>
      </c>
    </row>
    <row r="4" spans="1:59" x14ac:dyDescent="0.3">
      <c r="C4" s="52"/>
      <c r="D4" s="52"/>
      <c r="E4" s="52"/>
      <c r="F4" s="52"/>
      <c r="G4" s="52"/>
      <c r="H4" s="52"/>
      <c r="I4" s="52"/>
      <c r="M4" t="s">
        <v>160</v>
      </c>
      <c r="O4" s="52"/>
      <c r="P4" s="52"/>
      <c r="R4" t="s">
        <v>160</v>
      </c>
      <c r="T4" s="52"/>
      <c r="V4" t="s">
        <v>164</v>
      </c>
      <c r="W4" t="s">
        <v>164</v>
      </c>
      <c r="X4" t="s">
        <v>164</v>
      </c>
      <c r="Y4" t="s">
        <v>164</v>
      </c>
      <c r="Z4" s="52"/>
      <c r="AB4" t="s">
        <v>169</v>
      </c>
      <c r="AM4" t="s">
        <v>167</v>
      </c>
      <c r="AO4" s="52"/>
      <c r="AQ4" t="s">
        <v>167</v>
      </c>
      <c r="AR4" s="52" t="s">
        <v>166</v>
      </c>
      <c r="AS4" s="52" t="s">
        <v>166</v>
      </c>
      <c r="AT4" s="52"/>
      <c r="AV4" s="52" t="s">
        <v>166</v>
      </c>
      <c r="AY4" t="s">
        <v>169</v>
      </c>
      <c r="AZ4" t="s">
        <v>169</v>
      </c>
      <c r="BA4" t="s">
        <v>169</v>
      </c>
      <c r="BB4" t="s">
        <v>169</v>
      </c>
      <c r="BC4" s="53"/>
      <c r="BD4" s="53" t="s">
        <v>168</v>
      </c>
      <c r="BE4" s="53" t="s">
        <v>168</v>
      </c>
      <c r="BF4" s="53" t="s">
        <v>168</v>
      </c>
      <c r="BG4" s="52" t="s">
        <v>168</v>
      </c>
    </row>
    <row r="5" spans="1:59" x14ac:dyDescent="0.3">
      <c r="C5" s="52"/>
      <c r="D5" s="52"/>
      <c r="E5" s="52"/>
      <c r="F5" s="52"/>
      <c r="G5" s="52"/>
      <c r="H5" s="52"/>
      <c r="I5" s="52"/>
      <c r="O5" s="52"/>
      <c r="P5" s="52"/>
      <c r="T5" s="52"/>
      <c r="V5" t="s">
        <v>169</v>
      </c>
      <c r="Y5" t="s">
        <v>169</v>
      </c>
      <c r="Z5" s="52"/>
      <c r="AM5" t="s">
        <v>169</v>
      </c>
      <c r="AO5" s="52"/>
      <c r="AQ5" t="s">
        <v>169</v>
      </c>
      <c r="AR5" s="52" t="s">
        <v>169</v>
      </c>
      <c r="AS5" s="52" t="s">
        <v>169</v>
      </c>
      <c r="AT5" s="52"/>
      <c r="AV5" s="52"/>
      <c r="BC5" s="53"/>
      <c r="BD5" s="53"/>
      <c r="BE5" s="53"/>
      <c r="BF5" s="53"/>
      <c r="BG5" s="52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3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2025-08-07T12:42:38Z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