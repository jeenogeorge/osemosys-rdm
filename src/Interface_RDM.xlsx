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22C06AD2-3EE9-4707-AE76-2D55DCED6D31}" xr6:coauthVersionLast="47" xr6:coauthVersionMax="47" xr10:uidLastSave="{00000000-0000-0000-0000-000000000000}"/>
  <bookViews>
    <workbookView xWindow="-120" yWindow="-120" windowWidth="29040" windowHeight="15720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<sst xmlns="http://schemas.openxmlformats.org/spreadsheetml/2006/main" count="505" uniqueCount="213">
  <si>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</si>
  <si>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</si>
  <si>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</si>
  <si>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</si>
  <si>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</si>
  <si>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</si>
  <si>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</si>
  <si>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</si>
  <si>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</si>
  <si>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</si>
  <si>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</si>
  <si>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</si>
  <si>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</si>
  <si>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</si>
  <si>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</si>
  <si>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</si>
  <si>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Scenario1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</si>
  <si>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</si>
  <si>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</si>
  <si>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</si>
  <si>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</si>
  <si>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</si>
  <si>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</si>
  <si>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</si>
  <si>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 Costs</t>
  </si>
  <si>
    <t>Capital costs of electric vehicles</t>
  </si>
  <si>
    <t>CapitalCost</t>
  </si>
  <si>
    <t>Fixed Costs</t>
  </si>
  <si>
    <t>Fixed Cost of electric vehicles technologies</t>
  </si>
  <si>
    <t>FixedCost</t>
  </si>
  <si>
    <t>Capital Cost of ICE vehicles technologies</t>
  </si>
  <si>
    <t>Fixed Cost of ICE vehicles technologies</t>
  </si>
  <si>
    <t>Variable Costs</t>
  </si>
  <si>
    <t>Variable Cost of crops technologies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</si>
  <si>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</si>
  <si>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</si>
  <si>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>Fixed Cost of crops technologies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</si>
  <si>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</si>
  <si>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</si>
  <si>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</si>
  <si>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</si>
  <si>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</si>
  <si>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</si>
  <si>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</si>
  <si>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</si>
  <si>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</si>
  <si>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</si>
  <si>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</si>
  <si>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</si>
  <si>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User defined constraint</t>
  </si>
  <si>
    <t>Ensure EVs make up no more than 2% of the total car capacity</t>
  </si>
  <si>
    <t>UDCMultiplierTotalCapacity</t>
  </si>
  <si>
    <t>2TRACAREVCAP</t>
  </si>
  <si>
    <t>Forces water availability in 2050 to reduce to 75% of the 2020 value.</t>
  </si>
  <si>
    <t>RESTRICTWAT</t>
  </si>
  <si>
    <t>Collection rate</t>
  </si>
  <si>
    <t>UDCMultiplierActivity</t>
  </si>
  <si>
    <t>Capital costs of the cement industry</t>
  </si>
  <si>
    <t>Reserve margin</t>
  </si>
  <si>
    <t>PWRTRN</t>
  </si>
  <si>
    <t>RESMAR</t>
  </si>
  <si>
    <t>Cattle population demand growth</t>
  </si>
  <si>
    <t>LVSCTL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</si>
  <si>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</si>
  <si>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</si>
  <si>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</si>
  <si>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</si>
  <si>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</si>
  <si>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</si>
  <si>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</si>
  <si>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</si>
  <si>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</si>
  <si>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</si>
  <si>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</si>
  <si>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</si>
  <si>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</si>
  <si>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</si>
  <si>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</si>
  <si>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</si>
  <si>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</si>
  <si>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</si>
  <si>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</si>
  <si>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No</t>
  </si>
  <si>
    <t>Yes</t>
  </si>
  <si>
    <t>cplex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</si>
  <si>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</si>
  <si>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</si>
  <si>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</si>
  <si>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</si>
  <si>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</si>
  <si>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</si>
  <si>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</si>
  <si>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</si>
  <si>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</si>
  <si>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</si>
  <si>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</si>
  <si>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</si>
  <si>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</si>
  <si>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</si>
  <si>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</si>
  <si>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</si>
  <si>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</si>
  <si>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</si>
  <si>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</si>
  <si>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</si>
  <si>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</si>
  <si>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</si>
  <si>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</si>
  <si>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</si>
  <si>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</si>
  <si>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</si>
  <si>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</si>
  <si>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</si>
  <si>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</si>
  <si>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</si>
  <si>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</si>
  <si>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</si>
  <si>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</si>
  <si>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</si>
  <si>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</si>
  <si>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</si>
  <si>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</si>
  <si>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</si>
  <si>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</si>
  <si>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</si>
  <si>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</si>
  <si>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</si>
  <si>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</si>
  <si>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</si>
  <si>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</si>
  <si>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</si>
  <si>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</si>
  <si>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</si>
  <si>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</si>
  <si>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</si>
  <si>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</si>
  <si>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</si>
  <si>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</si>
  <si>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</si>
  <si>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</si>
  <si>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</si>
  <si>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</si>
  <si>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</si>
  <si>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</si>
  <si>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</si>
  <si>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</si>
  <si>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</si>
  <si>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</si>
  <si>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</si>
  <si>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</si>
  <si>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</si>
  <si>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</si>
  <si>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</si>
  <si>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</si>
  <si>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</si>
  <si>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</si>
  <si>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</si>
  <si>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</si>
  <si>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</si>
  <si>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</si>
  <si>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</si>
  <si>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</si>
  <si>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</si>
  <si>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</si>
  <si>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</si>
  <si>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</si>
  <si>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</si>
  <si>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</si>
  <si>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</si>
  <si>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</si>
  <si>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</si>
  <si>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</si>
  <si>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</si>
  <si>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</si>
  <si>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</si>
  <si>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</si>
  <si>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</si>
  <si>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</si>
  <si>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</si>
  <si>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</si>
  <si>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</si>
  <si>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</si>
  <si>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</si>
  <si>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</si>
  <si>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</si>
  <si>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</si>
  <si>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</si>
  <si>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</si>
  <si>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</si>
  <si>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</si>
  <si>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</si>
  <si>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</si>
  <si>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YES_ELAST</t>
  </si>
  <si>
    <t>YES_ADD</t>
  </si>
  <si>
    <t>INDKILNBIOCCS; INDKILNCOACCS; INDKILNBIO; INDKILNCOA; INDKILNDSL; INDKILNLPG; INDKILNHFO; INDKILNCOA</t>
  </si>
  <si>
    <t>TRAELCCARCUR</t>
  </si>
  <si>
    <t>YES_PROP</t>
  </si>
  <si>
    <t>DEP</t>
  </si>
  <si>
    <t>TRADSLCARCUR</t>
  </si>
  <si>
    <t>Demand growth in the buildings, industry and transport sector</t>
  </si>
  <si>
    <t>TRACAR</t>
  </si>
  <si>
    <t>LNDMAIHR</t>
  </si>
  <si>
    <t>Coal supply</t>
  </si>
  <si>
    <t>MINCOA</t>
  </si>
  <si>
    <t>Ensure EVs meet a given share of the total capacity</t>
  </si>
  <si>
    <t>TRAGSLCARNEW</t>
  </si>
  <si>
    <t xml:space="preserve">Minimum share of waste that should be collected </t>
  </si>
  <si>
    <t>WSTGEN; LWTGEN</t>
  </si>
  <si>
    <t>COLWST; COLLWT</t>
  </si>
  <si>
    <t>Capital costs of renewables</t>
  </si>
  <si>
    <t>PWRSOL001; PWRWND001; PWRBIO001</t>
  </si>
  <si>
    <t>Demand growth in the agriculture sector</t>
  </si>
  <si>
    <t>LVSSHP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</si>
</sst>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  <font>
      <sz val="1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2" xfId="0" applyBorder="1"/>
    <xf numFmtId="0" fontId="7" fillId="0" borderId="2" xfId="0" applyFont="1" applyBorder="1" applyAlignment="1">
      <alignment horizontal="center" vertical="center"/>
    </xf>
    <xf numFmtId="0" fontId="7" fillId="0" borderId="2" xfId="0" applyFont="1" applyBorder="1"/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4" borderId="2" xfId="0" applyFont="1" applyFill="1" applyBorder="1"/>
    <xf numFmtId="0" fontId="2" fillId="6" borderId="2" xfId="0" applyFont="1" applyFill="1" applyBorder="1" applyAlignment="1">
      <alignment horizontal="center" wrapText="1"/>
    </xf>
    <xf numFmtId="0" fontId="0" fillId="6" borderId="2" xfId="0" applyFill="1" applyBorder="1" applyAlignment="1">
      <alignment vertical="center" wrapText="1"/>
    </xf>
    <xf numFmtId="0" fontId="9" fillId="6" borderId="2" xfId="0" applyFont="1" applyFill="1" applyBorder="1" applyAlignment="1">
      <alignment horizontal="center" wrapText="1"/>
    </xf>
    <xf numFmtId="0" fontId="7" fillId="4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4" fillId="6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4" borderId="2" xfId="0" applyFill="1" applyBorder="1"/>
    <xf numFmtId="0" fontId="4" fillId="4" borderId="2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39"/>
  <sheetViews>
    <sheetView tabSelected="1" topLeftCell="A18" zoomScale="77" zoomScaleNormal="77" workbookViewId="0">
      <selection activeCell="C29" sqref="C29"/>
    </sheetView>
  </sheetViews>
  <sheetFormatPr defaultColWidth="8.85546875" defaultRowHeight="15" customHeight="1" x14ac:dyDescent="0.25"/>
  <cols>
    <col min="1" max="1" width="9.5703125" style="15" customWidth="1"/>
    <col min="2" max="2" width="28.28515625" style="15" customWidth="1"/>
    <col min="3" max="3" width="44" style="16" customWidth="1"/>
    <col min="4" max="4" width="24.42578125" style="19" customWidth="1"/>
    <col min="5" max="5" width="27.42578125" style="19" customWidth="1"/>
    <col min="6" max="7" width="32.140625" style="19" customWidth="1"/>
    <col min="8" max="8" width="13.5703125" style="19" customWidth="1"/>
    <col min="9" max="9" width="14.42578125" style="19" customWidth="1"/>
    <col min="10" max="10" width="54" style="15" customWidth="1"/>
    <col min="11" max="11" width="14.5703125" style="15" bestFit="1" customWidth="1"/>
    <col min="12" max="12" width="79.7109375" style="16" bestFit="1" customWidth="1"/>
    <col min="13" max="13" width="49" style="20" bestFit="1" customWidth="1"/>
    <col min="14" max="14" width="45.85546875" style="19" bestFit="1" customWidth="1"/>
    <col min="15" max="15" width="44" style="20" bestFit="1" customWidth="1"/>
    <col min="16" max="16384" width="8.85546875" style="27"/>
  </cols>
  <sheetData>
    <row r="1" spans="1:15" s="15" customForma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25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ht="60" x14ac:dyDescent="0.25">
      <c r="A2" s="33">
        <v>1</v>
      </c>
      <c r="B2" s="33" t="s">
        <v>15</v>
      </c>
      <c r="C2" s="34" t="s">
        <v>199</v>
      </c>
      <c r="D2" s="33" t="s">
        <v>16</v>
      </c>
      <c r="E2" s="33" t="s">
        <v>17</v>
      </c>
      <c r="F2" s="33" t="s">
        <v>18</v>
      </c>
      <c r="G2" s="33">
        <v>2026</v>
      </c>
      <c r="H2" s="33">
        <v>0.5</v>
      </c>
      <c r="I2" s="33">
        <v>1.5</v>
      </c>
      <c r="J2" s="33" t="s">
        <v>19</v>
      </c>
      <c r="K2" s="35" t="s">
        <v>192</v>
      </c>
      <c r="L2" s="36" t="s">
        <v>200</v>
      </c>
      <c r="M2" s="34" t="s">
        <v>21</v>
      </c>
      <c r="N2" s="34" t="s">
        <v>21</v>
      </c>
      <c r="O2" s="34" t="s">
        <v>22</v>
      </c>
    </row>
    <row r="3" spans="1:15" s="40" customFormat="1" ht="60" x14ac:dyDescent="0.25">
      <c r="A3" s="37">
        <f t="shared" ref="A3:A26" si="0">A2+1</f>
        <v>2</v>
      </c>
      <c r="B3" s="37" t="s">
        <v>15</v>
      </c>
      <c r="C3" s="34" t="s">
        <v>199</v>
      </c>
      <c r="D3" s="37" t="s">
        <v>16</v>
      </c>
      <c r="E3" s="37" t="s">
        <v>17</v>
      </c>
      <c r="F3" s="37" t="s">
        <v>18</v>
      </c>
      <c r="G3" s="37">
        <v>2026</v>
      </c>
      <c r="H3" s="37">
        <v>1</v>
      </c>
      <c r="I3" s="37">
        <v>2</v>
      </c>
      <c r="J3" s="37" t="s">
        <v>132</v>
      </c>
      <c r="K3" s="38" t="s">
        <v>197</v>
      </c>
      <c r="L3" s="39" t="s">
        <v>198</v>
      </c>
      <c r="M3" s="39" t="s">
        <v>21</v>
      </c>
      <c r="N3" s="39" t="s">
        <v>21</v>
      </c>
      <c r="O3" s="39" t="s">
        <v>22</v>
      </c>
    </row>
    <row r="4" spans="1:15" x14ac:dyDescent="0.25">
      <c r="A4" s="33">
        <f t="shared" si="0"/>
        <v>3</v>
      </c>
      <c r="B4" s="33" t="s">
        <v>24</v>
      </c>
      <c r="C4" s="34" t="s">
        <v>25</v>
      </c>
      <c r="D4" s="33" t="s">
        <v>16</v>
      </c>
      <c r="E4" s="33" t="s">
        <v>17</v>
      </c>
      <c r="F4" s="33" t="s">
        <v>18</v>
      </c>
      <c r="G4" s="33">
        <v>2026</v>
      </c>
      <c r="H4" s="33">
        <v>0.5</v>
      </c>
      <c r="I4" s="33">
        <v>1.5</v>
      </c>
      <c r="J4" s="33" t="s">
        <v>26</v>
      </c>
      <c r="K4" s="35" t="s">
        <v>196</v>
      </c>
      <c r="L4" s="41" t="s">
        <v>195</v>
      </c>
      <c r="M4" s="34" t="s">
        <v>21</v>
      </c>
      <c r="N4" s="34" t="s">
        <v>21</v>
      </c>
      <c r="O4" s="42"/>
    </row>
    <row r="5" spans="1:15" s="28" customFormat="1" ht="60" x14ac:dyDescent="0.25">
      <c r="A5" s="37">
        <f t="shared" si="0"/>
        <v>4</v>
      </c>
      <c r="B5" s="37" t="s">
        <v>27</v>
      </c>
      <c r="C5" s="39" t="s">
        <v>28</v>
      </c>
      <c r="D5" s="37" t="s">
        <v>16</v>
      </c>
      <c r="E5" s="37" t="s">
        <v>17</v>
      </c>
      <c r="F5" s="37" t="s">
        <v>18</v>
      </c>
      <c r="G5" s="37">
        <v>2026</v>
      </c>
      <c r="H5" s="37">
        <v>0.5</v>
      </c>
      <c r="I5" s="37">
        <v>1.5</v>
      </c>
      <c r="J5" s="37" t="s">
        <v>29</v>
      </c>
      <c r="K5" s="38" t="s">
        <v>197</v>
      </c>
      <c r="L5" s="43" t="s">
        <v>195</v>
      </c>
      <c r="M5" s="39" t="s">
        <v>21</v>
      </c>
      <c r="N5" s="39" t="s">
        <v>21</v>
      </c>
      <c r="O5" s="39" t="s">
        <v>22</v>
      </c>
    </row>
    <row r="6" spans="1:15" s="15" customFormat="1" ht="60" x14ac:dyDescent="0.25">
      <c r="A6" s="33">
        <f t="shared" si="0"/>
        <v>5</v>
      </c>
      <c r="B6" s="33" t="s">
        <v>24</v>
      </c>
      <c r="C6" s="34" t="s">
        <v>30</v>
      </c>
      <c r="D6" s="33" t="s">
        <v>16</v>
      </c>
      <c r="E6" s="33" t="s">
        <v>17</v>
      </c>
      <c r="F6" s="33" t="s">
        <v>18</v>
      </c>
      <c r="G6" s="33">
        <v>2026</v>
      </c>
      <c r="H6" s="33">
        <v>0.5</v>
      </c>
      <c r="I6" s="33">
        <v>1.5</v>
      </c>
      <c r="J6" s="33" t="s">
        <v>26</v>
      </c>
      <c r="K6" s="35" t="s">
        <v>196</v>
      </c>
      <c r="L6" s="34" t="s">
        <v>198</v>
      </c>
      <c r="M6" s="34" t="s">
        <v>21</v>
      </c>
      <c r="N6" s="34" t="s">
        <v>21</v>
      </c>
      <c r="O6" s="34" t="s">
        <v>22</v>
      </c>
    </row>
    <row r="7" spans="1:15" s="44" customFormat="1" ht="60" x14ac:dyDescent="0.25">
      <c r="A7" s="37">
        <f t="shared" si="0"/>
        <v>6</v>
      </c>
      <c r="B7" s="37" t="s">
        <v>27</v>
      </c>
      <c r="C7" s="39" t="s">
        <v>31</v>
      </c>
      <c r="D7" s="37" t="s">
        <v>16</v>
      </c>
      <c r="E7" s="37" t="s">
        <v>17</v>
      </c>
      <c r="F7" s="37" t="s">
        <v>18</v>
      </c>
      <c r="G7" s="37">
        <v>2026</v>
      </c>
      <c r="H7" s="37">
        <v>0.5</v>
      </c>
      <c r="I7" s="37">
        <v>1.5</v>
      </c>
      <c r="J7" s="37" t="s">
        <v>29</v>
      </c>
      <c r="K7" s="38" t="s">
        <v>197</v>
      </c>
      <c r="L7" s="39" t="s">
        <v>198</v>
      </c>
      <c r="M7" s="39" t="s">
        <v>21</v>
      </c>
      <c r="N7" s="39" t="s">
        <v>21</v>
      </c>
      <c r="O7" s="39" t="s">
        <v>22</v>
      </c>
    </row>
    <row r="8" spans="1:15" ht="60" x14ac:dyDescent="0.25">
      <c r="A8" s="33">
        <f t="shared" si="0"/>
        <v>7</v>
      </c>
      <c r="B8" s="33" t="s">
        <v>32</v>
      </c>
      <c r="C8" s="34" t="s">
        <v>33</v>
      </c>
      <c r="D8" s="33" t="s">
        <v>16</v>
      </c>
      <c r="E8" s="33" t="s">
        <v>17</v>
      </c>
      <c r="F8" s="33" t="s">
        <v>18</v>
      </c>
      <c r="G8" s="33">
        <v>2026</v>
      </c>
      <c r="H8" s="33">
        <v>0.5</v>
      </c>
      <c r="I8" s="33">
        <v>1.5</v>
      </c>
      <c r="J8" s="34" t="s">
        <v>34</v>
      </c>
      <c r="K8" s="35" t="s">
        <v>196</v>
      </c>
      <c r="L8" s="45" t="s">
        <v>201</v>
      </c>
      <c r="M8" s="34" t="s">
        <v>21</v>
      </c>
      <c r="N8" s="34" t="s">
        <v>21</v>
      </c>
      <c r="O8" s="34" t="s">
        <v>22</v>
      </c>
    </row>
    <row r="9" spans="1:15" s="40" customFormat="1" ht="60" x14ac:dyDescent="0.25">
      <c r="A9" s="37">
        <f t="shared" si="0"/>
        <v>8</v>
      </c>
      <c r="B9" s="37" t="s">
        <v>27</v>
      </c>
      <c r="C9" s="39" t="s">
        <v>36</v>
      </c>
      <c r="D9" s="37" t="s">
        <v>16</v>
      </c>
      <c r="E9" s="37" t="s">
        <v>17</v>
      </c>
      <c r="F9" s="37" t="s">
        <v>18</v>
      </c>
      <c r="G9" s="37">
        <v>2026</v>
      </c>
      <c r="H9" s="37">
        <v>0.5</v>
      </c>
      <c r="I9" s="37">
        <v>1.5</v>
      </c>
      <c r="J9" s="37" t="s">
        <v>29</v>
      </c>
      <c r="K9" s="38" t="s">
        <v>197</v>
      </c>
      <c r="L9" s="46" t="s">
        <v>201</v>
      </c>
      <c r="M9" s="39" t="s">
        <v>21</v>
      </c>
      <c r="N9" s="39" t="s">
        <v>21</v>
      </c>
      <c r="O9" s="39" t="s">
        <v>22</v>
      </c>
    </row>
    <row r="10" spans="1:15" ht="60" x14ac:dyDescent="0.25">
      <c r="A10" s="15">
        <f t="shared" si="0"/>
        <v>9</v>
      </c>
      <c r="B10" s="15" t="s">
        <v>32</v>
      </c>
      <c r="C10" s="16" t="s">
        <v>37</v>
      </c>
      <c r="D10" s="15" t="s">
        <v>16</v>
      </c>
      <c r="E10" s="15" t="s">
        <v>17</v>
      </c>
      <c r="F10" s="15" t="s">
        <v>18</v>
      </c>
      <c r="G10" s="15">
        <v>2026</v>
      </c>
      <c r="H10" s="15">
        <v>0.5</v>
      </c>
      <c r="I10" s="15">
        <v>1.5</v>
      </c>
      <c r="J10" s="16" t="s">
        <v>34</v>
      </c>
      <c r="K10" s="26" t="s">
        <v>20</v>
      </c>
      <c r="L10" s="16" t="s">
        <v>38</v>
      </c>
      <c r="M10" s="16" t="s">
        <v>21</v>
      </c>
      <c r="N10" s="16" t="s">
        <v>21</v>
      </c>
      <c r="O10" s="16" t="s">
        <v>22</v>
      </c>
    </row>
    <row r="11" spans="1:15" ht="60" x14ac:dyDescent="0.25">
      <c r="A11" s="15">
        <f t="shared" si="0"/>
        <v>10</v>
      </c>
      <c r="B11" s="15" t="s">
        <v>32</v>
      </c>
      <c r="C11" s="16" t="s">
        <v>202</v>
      </c>
      <c r="D11" s="15" t="s">
        <v>16</v>
      </c>
      <c r="E11" s="15" t="s">
        <v>17</v>
      </c>
      <c r="F11" s="15" t="s">
        <v>18</v>
      </c>
      <c r="G11" s="15">
        <v>2026</v>
      </c>
      <c r="H11" s="15">
        <v>0.5</v>
      </c>
      <c r="I11" s="15">
        <v>1.5</v>
      </c>
      <c r="J11" s="16" t="s">
        <v>34</v>
      </c>
      <c r="K11" s="26" t="s">
        <v>20</v>
      </c>
      <c r="L11" s="16" t="s">
        <v>203</v>
      </c>
      <c r="M11" s="16" t="s">
        <v>21</v>
      </c>
      <c r="N11" s="16" t="s">
        <v>21</v>
      </c>
      <c r="O11" s="16" t="s">
        <v>22</v>
      </c>
    </row>
    <row r="12" spans="1:15" ht="60" x14ac:dyDescent="0.25">
      <c r="A12" s="15">
        <f t="shared" si="0"/>
        <v>11</v>
      </c>
      <c r="B12" s="15" t="s">
        <v>32</v>
      </c>
      <c r="C12" s="16" t="s">
        <v>39</v>
      </c>
      <c r="D12" s="15" t="s">
        <v>16</v>
      </c>
      <c r="E12" s="15" t="s">
        <v>17</v>
      </c>
      <c r="F12" s="15" t="s">
        <v>18</v>
      </c>
      <c r="G12" s="15">
        <v>2026</v>
      </c>
      <c r="H12" s="15">
        <v>0.5</v>
      </c>
      <c r="I12" s="15">
        <v>1.5</v>
      </c>
      <c r="J12" s="16" t="s">
        <v>34</v>
      </c>
      <c r="K12" s="26" t="s">
        <v>20</v>
      </c>
      <c r="L12" s="16" t="s">
        <v>40</v>
      </c>
      <c r="M12" s="16" t="s">
        <v>21</v>
      </c>
      <c r="N12" s="16" t="s">
        <v>21</v>
      </c>
      <c r="O12" s="16" t="s">
        <v>22</v>
      </c>
    </row>
    <row r="13" spans="1:15" ht="60" x14ac:dyDescent="0.25">
      <c r="A13" s="15">
        <f t="shared" si="0"/>
        <v>12</v>
      </c>
      <c r="B13" s="15" t="s">
        <v>32</v>
      </c>
      <c r="C13" s="16" t="s">
        <v>41</v>
      </c>
      <c r="D13" s="15" t="s">
        <v>16</v>
      </c>
      <c r="E13" s="15" t="s">
        <v>17</v>
      </c>
      <c r="F13" s="15" t="s">
        <v>18</v>
      </c>
      <c r="G13" s="15">
        <v>2026</v>
      </c>
      <c r="H13" s="15">
        <v>0.5</v>
      </c>
      <c r="I13" s="15">
        <v>1.5</v>
      </c>
      <c r="J13" s="16" t="s">
        <v>34</v>
      </c>
      <c r="K13" s="26" t="s">
        <v>20</v>
      </c>
      <c r="L13" s="16" t="s">
        <v>42</v>
      </c>
      <c r="M13" s="16" t="s">
        <v>21</v>
      </c>
      <c r="N13" s="16" t="s">
        <v>21</v>
      </c>
      <c r="O13" s="16" t="s">
        <v>22</v>
      </c>
    </row>
    <row r="14" spans="1:15" ht="75" x14ac:dyDescent="0.25">
      <c r="A14" s="15">
        <f t="shared" si="0"/>
        <v>13</v>
      </c>
      <c r="B14" s="15" t="s">
        <v>43</v>
      </c>
      <c r="C14" s="16" t="s">
        <v>44</v>
      </c>
      <c r="D14" s="15" t="s">
        <v>16</v>
      </c>
      <c r="E14" s="15" t="s">
        <v>17</v>
      </c>
      <c r="F14" s="15" t="s">
        <v>18</v>
      </c>
      <c r="G14" s="15">
        <v>2026</v>
      </c>
      <c r="H14" s="15">
        <v>0.5</v>
      </c>
      <c r="I14" s="15">
        <v>1.5</v>
      </c>
      <c r="J14" s="16" t="s">
        <v>45</v>
      </c>
      <c r="K14" s="26" t="s">
        <v>20</v>
      </c>
      <c r="L14" s="16" t="s">
        <v>35</v>
      </c>
      <c r="M14" s="16" t="s">
        <v>46</v>
      </c>
      <c r="N14" s="16" t="s">
        <v>21</v>
      </c>
      <c r="O14" s="16" t="s">
        <v>22</v>
      </c>
    </row>
    <row r="15" spans="1:15" ht="60" x14ac:dyDescent="0.25">
      <c r="A15" s="15">
        <f t="shared" si="0"/>
        <v>14</v>
      </c>
      <c r="B15" s="15" t="s">
        <v>24</v>
      </c>
      <c r="C15" s="16" t="s">
        <v>47</v>
      </c>
      <c r="D15" s="15" t="s">
        <v>16</v>
      </c>
      <c r="E15" s="15" t="s">
        <v>17</v>
      </c>
      <c r="F15" s="15" t="s">
        <v>18</v>
      </c>
      <c r="G15" s="15">
        <v>2026</v>
      </c>
      <c r="H15" s="15">
        <v>0.5</v>
      </c>
      <c r="I15" s="15">
        <v>1.5</v>
      </c>
      <c r="J15" s="16" t="s">
        <v>26</v>
      </c>
      <c r="K15" s="26" t="s">
        <v>20</v>
      </c>
      <c r="L15" s="16" t="s">
        <v>48</v>
      </c>
      <c r="O15" s="16" t="s">
        <v>22</v>
      </c>
    </row>
    <row r="16" spans="1:15" ht="60" x14ac:dyDescent="0.25">
      <c r="A16" s="33">
        <f t="shared" si="0"/>
        <v>15</v>
      </c>
      <c r="B16" s="33" t="s">
        <v>49</v>
      </c>
      <c r="C16" s="34" t="s">
        <v>204</v>
      </c>
      <c r="D16" s="33" t="s">
        <v>16</v>
      </c>
      <c r="E16" s="33" t="s">
        <v>17</v>
      </c>
      <c r="F16" s="33" t="s">
        <v>18</v>
      </c>
      <c r="G16" s="33">
        <v>2026</v>
      </c>
      <c r="H16" s="47">
        <v>0.93</v>
      </c>
      <c r="I16" s="47">
        <v>1</v>
      </c>
      <c r="J16" s="33" t="s">
        <v>51</v>
      </c>
      <c r="K16" s="35" t="s">
        <v>193</v>
      </c>
      <c r="L16" s="34" t="s">
        <v>195</v>
      </c>
      <c r="M16" s="34" t="s">
        <v>52</v>
      </c>
      <c r="N16" s="34" t="s">
        <v>21</v>
      </c>
      <c r="O16" s="34" t="s">
        <v>22</v>
      </c>
    </row>
    <row r="17" spans="1:15" s="29" customFormat="1" ht="60" x14ac:dyDescent="0.25">
      <c r="A17" s="33">
        <f t="shared" si="0"/>
        <v>16</v>
      </c>
      <c r="B17" s="37" t="s">
        <v>49</v>
      </c>
      <c r="C17" s="39" t="s">
        <v>50</v>
      </c>
      <c r="D17" s="37" t="s">
        <v>16</v>
      </c>
      <c r="E17" s="37" t="s">
        <v>17</v>
      </c>
      <c r="F17" s="37" t="s">
        <v>18</v>
      </c>
      <c r="G17" s="37">
        <v>2026</v>
      </c>
      <c r="H17" s="47">
        <v>0.93</v>
      </c>
      <c r="I17" s="47">
        <v>1</v>
      </c>
      <c r="J17" s="37" t="s">
        <v>51</v>
      </c>
      <c r="K17" s="38" t="s">
        <v>197</v>
      </c>
      <c r="L17" s="39" t="s">
        <v>205</v>
      </c>
      <c r="M17" s="39" t="s">
        <v>52</v>
      </c>
      <c r="N17" s="39" t="s">
        <v>21</v>
      </c>
      <c r="O17" s="39" t="s">
        <v>22</v>
      </c>
    </row>
    <row r="18" spans="1:15" ht="60" x14ac:dyDescent="0.25">
      <c r="A18" s="15">
        <f t="shared" si="0"/>
        <v>17</v>
      </c>
      <c r="B18" s="15" t="s">
        <v>49</v>
      </c>
      <c r="C18" s="16" t="s">
        <v>53</v>
      </c>
      <c r="D18" s="15" t="s">
        <v>16</v>
      </c>
      <c r="E18" s="15" t="s">
        <v>17</v>
      </c>
      <c r="F18" s="15" t="s">
        <v>18</v>
      </c>
      <c r="G18" s="15">
        <v>2026</v>
      </c>
      <c r="H18" s="15">
        <v>0.5</v>
      </c>
      <c r="I18" s="15">
        <v>1.5</v>
      </c>
      <c r="J18" s="15" t="s">
        <v>23</v>
      </c>
      <c r="K18" s="26" t="s">
        <v>20</v>
      </c>
      <c r="L18" s="16" t="s">
        <v>54</v>
      </c>
      <c r="M18" s="16" t="s">
        <v>21</v>
      </c>
      <c r="N18" s="16" t="s">
        <v>21</v>
      </c>
      <c r="O18" s="16" t="s">
        <v>22</v>
      </c>
    </row>
    <row r="19" spans="1:15" s="48" customFormat="1" ht="60" x14ac:dyDescent="0.25">
      <c r="A19" s="48">
        <f t="shared" si="0"/>
        <v>18</v>
      </c>
      <c r="B19" s="49" t="s">
        <v>55</v>
      </c>
      <c r="C19" s="50" t="s">
        <v>206</v>
      </c>
      <c r="D19" s="51" t="s">
        <v>16</v>
      </c>
      <c r="E19" s="51" t="s">
        <v>17</v>
      </c>
      <c r="F19" s="51" t="s">
        <v>18</v>
      </c>
      <c r="G19" s="48">
        <v>2026</v>
      </c>
      <c r="H19" s="48">
        <v>0.5</v>
      </c>
      <c r="I19" s="48">
        <v>1.5</v>
      </c>
      <c r="J19" s="49" t="s">
        <v>56</v>
      </c>
      <c r="K19" s="52" t="s">
        <v>20</v>
      </c>
      <c r="L19" s="50" t="s">
        <v>207</v>
      </c>
      <c r="M19" s="50" t="s">
        <v>208</v>
      </c>
      <c r="N19" s="53" t="s">
        <v>21</v>
      </c>
      <c r="O19" s="53" t="s">
        <v>22</v>
      </c>
    </row>
    <row r="20" spans="1:15" ht="60" x14ac:dyDescent="0.25">
      <c r="A20" s="15">
        <f t="shared" si="0"/>
        <v>19</v>
      </c>
      <c r="B20" s="15" t="s">
        <v>24</v>
      </c>
      <c r="C20" s="16" t="s">
        <v>209</v>
      </c>
      <c r="D20" s="15" t="s">
        <v>16</v>
      </c>
      <c r="E20" s="15" t="s">
        <v>17</v>
      </c>
      <c r="F20" s="15" t="s">
        <v>18</v>
      </c>
      <c r="G20" s="15">
        <v>2026</v>
      </c>
      <c r="H20" s="15">
        <v>0.5</v>
      </c>
      <c r="I20" s="15">
        <v>1.5</v>
      </c>
      <c r="J20" s="15" t="s">
        <v>26</v>
      </c>
      <c r="K20" s="26" t="s">
        <v>20</v>
      </c>
      <c r="L20" s="16" t="s">
        <v>210</v>
      </c>
      <c r="M20" s="16" t="s">
        <v>21</v>
      </c>
      <c r="N20" s="16" t="s">
        <v>21</v>
      </c>
      <c r="O20" s="16" t="s">
        <v>22</v>
      </c>
    </row>
    <row r="21" spans="1:15" ht="60" x14ac:dyDescent="0.25">
      <c r="A21" s="15">
        <f t="shared" si="0"/>
        <v>20</v>
      </c>
      <c r="B21" s="15" t="s">
        <v>24</v>
      </c>
      <c r="C21" s="16" t="s">
        <v>57</v>
      </c>
      <c r="D21" s="15" t="s">
        <v>16</v>
      </c>
      <c r="E21" s="15" t="s">
        <v>17</v>
      </c>
      <c r="F21" s="15" t="s">
        <v>18</v>
      </c>
      <c r="G21" s="15">
        <v>2026</v>
      </c>
      <c r="H21" s="15">
        <v>0.5</v>
      </c>
      <c r="I21" s="15">
        <v>1.5</v>
      </c>
      <c r="J21" s="15" t="s">
        <v>26</v>
      </c>
      <c r="K21" s="26" t="s">
        <v>20</v>
      </c>
      <c r="L21" s="16" t="s">
        <v>194</v>
      </c>
      <c r="M21" s="16" t="s">
        <v>21</v>
      </c>
      <c r="N21" s="16" t="s">
        <v>21</v>
      </c>
      <c r="O21" s="16" t="s">
        <v>22</v>
      </c>
    </row>
    <row r="22" spans="1:15" ht="60" x14ac:dyDescent="0.25">
      <c r="A22" s="15">
        <f t="shared" si="0"/>
        <v>21</v>
      </c>
      <c r="B22" s="15" t="s">
        <v>58</v>
      </c>
      <c r="C22" s="16" t="s">
        <v>58</v>
      </c>
      <c r="D22" s="15" t="s">
        <v>16</v>
      </c>
      <c r="E22" s="15" t="s">
        <v>17</v>
      </c>
      <c r="F22" s="15" t="s">
        <v>18</v>
      </c>
      <c r="G22" s="15">
        <v>2026</v>
      </c>
      <c r="H22" s="30">
        <v>0.87</v>
      </c>
      <c r="I22" s="30">
        <v>1.1299999999999999</v>
      </c>
      <c r="J22" s="15" t="s">
        <v>51</v>
      </c>
      <c r="K22" s="26" t="s">
        <v>20</v>
      </c>
      <c r="L22" s="54" t="s">
        <v>59</v>
      </c>
      <c r="M22" s="16" t="s">
        <v>60</v>
      </c>
      <c r="N22" s="16" t="s">
        <v>21</v>
      </c>
      <c r="O22" s="16" t="s">
        <v>22</v>
      </c>
    </row>
    <row r="23" spans="1:15" s="55" customFormat="1" ht="60" x14ac:dyDescent="0.25">
      <c r="A23" s="33">
        <f t="shared" si="0"/>
        <v>22</v>
      </c>
      <c r="B23" s="33" t="s">
        <v>15</v>
      </c>
      <c r="C23" s="34" t="s">
        <v>211</v>
      </c>
      <c r="D23" s="33" t="s">
        <v>16</v>
      </c>
      <c r="E23" s="33" t="s">
        <v>17</v>
      </c>
      <c r="F23" s="33" t="s">
        <v>18</v>
      </c>
      <c r="G23" s="33">
        <v>2026</v>
      </c>
      <c r="H23" s="33">
        <v>0.5</v>
      </c>
      <c r="I23" s="33">
        <v>1.5</v>
      </c>
      <c r="J23" s="33" t="s">
        <v>19</v>
      </c>
      <c r="K23" s="35" t="s">
        <v>192</v>
      </c>
      <c r="L23" s="34" t="s">
        <v>212</v>
      </c>
      <c r="M23" s="34" t="s">
        <v>21</v>
      </c>
      <c r="N23" s="34" t="s">
        <v>21</v>
      </c>
      <c r="O23" s="34" t="s">
        <v>22</v>
      </c>
    </row>
    <row r="24" spans="1:15" s="40" customFormat="1" ht="60" x14ac:dyDescent="0.25">
      <c r="A24" s="33">
        <f t="shared" si="0"/>
        <v>23</v>
      </c>
      <c r="B24" s="37" t="s">
        <v>15</v>
      </c>
      <c r="C24" s="39" t="s">
        <v>211</v>
      </c>
      <c r="D24" s="37" t="s">
        <v>16</v>
      </c>
      <c r="E24" s="37" t="s">
        <v>17</v>
      </c>
      <c r="F24" s="37" t="s">
        <v>18</v>
      </c>
      <c r="G24" s="37">
        <v>2026</v>
      </c>
      <c r="H24" s="37">
        <v>1</v>
      </c>
      <c r="I24" s="37">
        <v>2</v>
      </c>
      <c r="J24" s="37" t="s">
        <v>132</v>
      </c>
      <c r="K24" s="38" t="s">
        <v>197</v>
      </c>
      <c r="L24" s="46" t="s">
        <v>201</v>
      </c>
      <c r="M24" s="39" t="s">
        <v>21</v>
      </c>
      <c r="N24" s="39" t="s">
        <v>21</v>
      </c>
      <c r="O24" s="39" t="s">
        <v>22</v>
      </c>
    </row>
    <row r="25" spans="1:15" s="55" customFormat="1" ht="60" x14ac:dyDescent="0.25">
      <c r="A25" s="48">
        <f t="shared" si="0"/>
        <v>24</v>
      </c>
      <c r="B25" s="48" t="s">
        <v>15</v>
      </c>
      <c r="C25" s="53" t="s">
        <v>61</v>
      </c>
      <c r="D25" s="48" t="s">
        <v>16</v>
      </c>
      <c r="E25" s="48" t="s">
        <v>17</v>
      </c>
      <c r="F25" s="48" t="s">
        <v>18</v>
      </c>
      <c r="G25" s="48">
        <v>2026</v>
      </c>
      <c r="H25" s="48">
        <v>0.5</v>
      </c>
      <c r="I25" s="56">
        <v>1</v>
      </c>
      <c r="J25" s="48" t="s">
        <v>19</v>
      </c>
      <c r="K25" s="57" t="s">
        <v>20</v>
      </c>
      <c r="L25" s="53" t="s">
        <v>62</v>
      </c>
      <c r="M25" s="53" t="s">
        <v>21</v>
      </c>
      <c r="N25" s="53" t="s">
        <v>21</v>
      </c>
      <c r="O25" s="53" t="s">
        <v>22</v>
      </c>
    </row>
    <row r="26" spans="1:15" ht="60" x14ac:dyDescent="0.25">
      <c r="A26" s="15">
        <f t="shared" si="0"/>
        <v>25</v>
      </c>
      <c r="B26" s="30" t="s">
        <v>64</v>
      </c>
      <c r="C26" s="31" t="s">
        <v>65</v>
      </c>
      <c r="D26" s="30" t="s">
        <v>16</v>
      </c>
      <c r="E26" s="30" t="s">
        <v>66</v>
      </c>
      <c r="F26" s="30" t="s">
        <v>18</v>
      </c>
      <c r="G26" s="30">
        <v>2027</v>
      </c>
      <c r="H26" s="30">
        <v>8</v>
      </c>
      <c r="I26" s="30">
        <v>20</v>
      </c>
      <c r="J26" s="30" t="s">
        <v>67</v>
      </c>
      <c r="K26" s="32" t="s">
        <v>20</v>
      </c>
      <c r="L26" s="31" t="s">
        <v>40</v>
      </c>
      <c r="M26" s="23" t="s">
        <v>21</v>
      </c>
      <c r="N26" s="23" t="s">
        <v>21</v>
      </c>
      <c r="O26" s="23" t="s">
        <v>22</v>
      </c>
    </row>
    <row r="27" spans="1:15" x14ac:dyDescent="0.25"/>
    <row r="28" spans="1:15" x14ac:dyDescent="0.25"/>
    <row r="29" spans="1:15" x14ac:dyDescent="0.25"/>
    <row r="30" spans="1:15" x14ac:dyDescent="0.25"/>
    <row r="31" spans="1:15" x14ac:dyDescent="0.25"/>
    <row r="32" spans="1:15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</sheetData>
  <autoFilter ref="A1:O1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A2" sqref="A2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1" max="11" width="24.28515625" bestFit="1" customWidth="1"/>
    <col min="12" max="12" width="18" bestFit="1" customWidth="1"/>
    <col min="13" max="13" width="15.42578125" bestFit="1" customWidth="1"/>
  </cols>
  <sheetData>
    <row r="1" spans="1:13" ht="15" customHeight="1" thickBot="1" x14ac:dyDescent="0.3">
      <c r="A1" s="1" t="s">
        <v>68</v>
      </c>
      <c r="B1" s="1" t="s">
        <v>69</v>
      </c>
      <c r="C1" s="4" t="s">
        <v>70</v>
      </c>
      <c r="D1" s="6" t="s">
        <v>71</v>
      </c>
      <c r="E1" s="7" t="s">
        <v>72</v>
      </c>
      <c r="F1" s="10" t="s">
        <v>73</v>
      </c>
      <c r="G1" s="11" t="s">
        <v>74</v>
      </c>
      <c r="H1" s="11" t="s">
        <v>75</v>
      </c>
      <c r="I1" s="10" t="s">
        <v>76</v>
      </c>
      <c r="J1" s="22" t="s">
        <v>77</v>
      </c>
      <c r="K1" s="22" t="s">
        <v>78</v>
      </c>
      <c r="L1" s="22" t="s">
        <v>79</v>
      </c>
      <c r="M1" s="22" t="s">
        <v>80</v>
      </c>
    </row>
    <row r="2" spans="1:13" ht="120.75" thickBot="1" x14ac:dyDescent="0.3">
      <c r="A2" s="2">
        <v>2</v>
      </c>
      <c r="B2" s="2" t="s">
        <v>81</v>
      </c>
      <c r="C2" s="5">
        <v>1</v>
      </c>
      <c r="D2" s="8">
        <v>2</v>
      </c>
      <c r="E2" s="9">
        <v>8</v>
      </c>
      <c r="F2" s="12" t="s">
        <v>82</v>
      </c>
      <c r="G2" s="2" t="s">
        <v>83</v>
      </c>
      <c r="H2" s="2" t="s">
        <v>84</v>
      </c>
      <c r="I2" s="2" t="s">
        <v>85</v>
      </c>
      <c r="J2" s="21" t="s">
        <v>86</v>
      </c>
      <c r="K2" s="21" t="s">
        <v>87</v>
      </c>
      <c r="L2" s="21" t="s">
        <v>88</v>
      </c>
      <c r="M2" s="24" t="s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AW1" workbookViewId="0">
      <selection activeCell="N1" sqref="N1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90</v>
      </c>
      <c r="B1" t="s">
        <v>91</v>
      </c>
      <c r="C1" s="13" t="s">
        <v>92</v>
      </c>
      <c r="D1" s="13" t="s">
        <v>93</v>
      </c>
      <c r="E1" s="13" t="s">
        <v>94</v>
      </c>
      <c r="F1" s="13" t="s">
        <v>95</v>
      </c>
      <c r="G1" s="13" t="s">
        <v>96</v>
      </c>
      <c r="H1" s="13" t="s">
        <v>97</v>
      </c>
      <c r="I1" s="13" t="s">
        <v>98</v>
      </c>
      <c r="J1" t="s">
        <v>99</v>
      </c>
      <c r="K1" t="s">
        <v>100</v>
      </c>
      <c r="L1" t="s">
        <v>101</v>
      </c>
      <c r="M1" t="s">
        <v>102</v>
      </c>
      <c r="N1" t="s">
        <v>19</v>
      </c>
      <c r="O1" s="13" t="s">
        <v>103</v>
      </c>
      <c r="P1" s="13" t="s">
        <v>104</v>
      </c>
      <c r="Q1" t="s">
        <v>105</v>
      </c>
      <c r="R1" t="s">
        <v>106</v>
      </c>
      <c r="S1" t="s">
        <v>107</v>
      </c>
      <c r="T1" s="13" t="s">
        <v>108</v>
      </c>
      <c r="U1" t="s">
        <v>109</v>
      </c>
      <c r="V1" t="s">
        <v>110</v>
      </c>
      <c r="W1" t="s">
        <v>111</v>
      </c>
      <c r="X1" t="s">
        <v>112</v>
      </c>
      <c r="Y1" t="s">
        <v>45</v>
      </c>
      <c r="Z1" s="13" t="s">
        <v>113</v>
      </c>
      <c r="AA1" t="s">
        <v>26</v>
      </c>
      <c r="AB1" t="s">
        <v>34</v>
      </c>
      <c r="AC1" t="s">
        <v>29</v>
      </c>
      <c r="AD1" t="s">
        <v>114</v>
      </c>
      <c r="AE1" t="s">
        <v>63</v>
      </c>
      <c r="AF1" t="s">
        <v>115</v>
      </c>
      <c r="AG1" t="s">
        <v>116</v>
      </c>
      <c r="AH1" t="s">
        <v>117</v>
      </c>
      <c r="AI1" t="s">
        <v>67</v>
      </c>
      <c r="AJ1" t="s">
        <v>118</v>
      </c>
      <c r="AK1" t="s">
        <v>119</v>
      </c>
      <c r="AL1" t="s">
        <v>120</v>
      </c>
      <c r="AM1" t="s">
        <v>121</v>
      </c>
      <c r="AN1" t="s">
        <v>122</v>
      </c>
      <c r="AO1" s="13" t="s">
        <v>123</v>
      </c>
      <c r="AP1" t="s">
        <v>124</v>
      </c>
      <c r="AQ1" t="s">
        <v>125</v>
      </c>
      <c r="AR1" s="13" t="s">
        <v>126</v>
      </c>
      <c r="AS1" s="13" t="s">
        <v>127</v>
      </c>
      <c r="AT1" s="13" t="s">
        <v>128</v>
      </c>
      <c r="AU1" t="s">
        <v>129</v>
      </c>
      <c r="AV1" s="13" t="s">
        <v>130</v>
      </c>
      <c r="AW1" t="s">
        <v>114</v>
      </c>
      <c r="AX1" t="s">
        <v>131</v>
      </c>
      <c r="AY1" t="s">
        <v>132</v>
      </c>
      <c r="AZ1" t="s">
        <v>133</v>
      </c>
      <c r="BA1" t="s">
        <v>134</v>
      </c>
      <c r="BB1" t="s">
        <v>135</v>
      </c>
      <c r="BC1" s="14" t="s">
        <v>23</v>
      </c>
      <c r="BD1" s="14" t="s">
        <v>56</v>
      </c>
      <c r="BE1" s="14" t="s">
        <v>136</v>
      </c>
      <c r="BF1" s="14" t="s">
        <v>51</v>
      </c>
      <c r="BG1" s="13" t="s">
        <v>137</v>
      </c>
    </row>
    <row r="2" spans="1:59" x14ac:dyDescent="0.25">
      <c r="A2" t="s">
        <v>138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139</v>
      </c>
      <c r="C3" s="13" t="s">
        <v>140</v>
      </c>
      <c r="D3" s="13" t="s">
        <v>140</v>
      </c>
      <c r="E3" s="13" t="s">
        <v>140</v>
      </c>
      <c r="F3" s="13" t="s">
        <v>140</v>
      </c>
      <c r="G3" s="13" t="s">
        <v>139</v>
      </c>
      <c r="H3" s="13" t="s">
        <v>139</v>
      </c>
      <c r="I3" s="13" t="s">
        <v>139</v>
      </c>
      <c r="J3" t="s">
        <v>141</v>
      </c>
      <c r="K3" t="s">
        <v>142</v>
      </c>
      <c r="L3" t="s">
        <v>143</v>
      </c>
      <c r="M3" t="s">
        <v>143</v>
      </c>
      <c r="N3" t="s">
        <v>143</v>
      </c>
      <c r="O3" s="13" t="s">
        <v>140</v>
      </c>
      <c r="P3" s="13" t="s">
        <v>140</v>
      </c>
      <c r="Q3" t="s">
        <v>144</v>
      </c>
      <c r="R3" t="s">
        <v>144</v>
      </c>
      <c r="S3" t="s">
        <v>144</v>
      </c>
      <c r="T3" s="13" t="s">
        <v>140</v>
      </c>
      <c r="U3" t="s">
        <v>144</v>
      </c>
      <c r="V3" t="s">
        <v>144</v>
      </c>
      <c r="W3" t="s">
        <v>144</v>
      </c>
      <c r="X3" t="s">
        <v>144</v>
      </c>
      <c r="Y3" t="s">
        <v>144</v>
      </c>
      <c r="Z3" s="13" t="s">
        <v>140</v>
      </c>
      <c r="AA3" t="s">
        <v>144</v>
      </c>
      <c r="AB3" t="s">
        <v>144</v>
      </c>
      <c r="AC3" t="s">
        <v>144</v>
      </c>
      <c r="AD3" t="s">
        <v>145</v>
      </c>
      <c r="AE3" t="s">
        <v>144</v>
      </c>
      <c r="AF3" t="s">
        <v>144</v>
      </c>
      <c r="AG3" t="s">
        <v>144</v>
      </c>
      <c r="AH3" t="s">
        <v>144</v>
      </c>
      <c r="AI3" t="s">
        <v>144</v>
      </c>
      <c r="AJ3" t="s">
        <v>144</v>
      </c>
      <c r="AK3" t="s">
        <v>144</v>
      </c>
      <c r="AL3" t="s">
        <v>144</v>
      </c>
      <c r="AM3" t="s">
        <v>144</v>
      </c>
      <c r="AN3" t="s">
        <v>146</v>
      </c>
      <c r="AO3" s="13" t="s">
        <v>146</v>
      </c>
      <c r="AP3" t="s">
        <v>146</v>
      </c>
      <c r="AQ3" t="s">
        <v>144</v>
      </c>
      <c r="AR3" s="13" t="s">
        <v>144</v>
      </c>
      <c r="AS3" s="13" t="s">
        <v>144</v>
      </c>
      <c r="AT3" s="13" t="s">
        <v>145</v>
      </c>
      <c r="AU3" t="s">
        <v>145</v>
      </c>
      <c r="AV3" s="13" t="s">
        <v>140</v>
      </c>
      <c r="AW3" t="s">
        <v>145</v>
      </c>
      <c r="AX3" t="s">
        <v>145</v>
      </c>
      <c r="AY3" t="s">
        <v>144</v>
      </c>
      <c r="AZ3" t="s">
        <v>144</v>
      </c>
      <c r="BA3" t="s">
        <v>144</v>
      </c>
      <c r="BB3" t="s">
        <v>144</v>
      </c>
      <c r="BC3" s="14" t="s">
        <v>147</v>
      </c>
      <c r="BD3" s="14" t="s">
        <v>144</v>
      </c>
      <c r="BE3" s="14" t="s">
        <v>144</v>
      </c>
      <c r="BF3" s="14" t="s">
        <v>144</v>
      </c>
      <c r="BG3" s="13" t="s">
        <v>140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139</v>
      </c>
      <c r="O4" s="13"/>
      <c r="P4" s="13"/>
      <c r="R4" t="s">
        <v>139</v>
      </c>
      <c r="T4" s="13"/>
      <c r="V4" t="s">
        <v>143</v>
      </c>
      <c r="W4" t="s">
        <v>143</v>
      </c>
      <c r="X4" t="s">
        <v>143</v>
      </c>
      <c r="Y4" t="s">
        <v>143</v>
      </c>
      <c r="Z4" s="13"/>
      <c r="AB4" t="s">
        <v>148</v>
      </c>
      <c r="AM4" t="s">
        <v>146</v>
      </c>
      <c r="AO4" s="13"/>
      <c r="AQ4" t="s">
        <v>146</v>
      </c>
      <c r="AR4" s="13" t="s">
        <v>145</v>
      </c>
      <c r="AS4" s="13" t="s">
        <v>145</v>
      </c>
      <c r="AT4" s="13"/>
      <c r="AV4" s="13" t="s">
        <v>145</v>
      </c>
      <c r="AY4" t="s">
        <v>148</v>
      </c>
      <c r="AZ4" t="s">
        <v>148</v>
      </c>
      <c r="BA4" t="s">
        <v>148</v>
      </c>
      <c r="BB4" t="s">
        <v>148</v>
      </c>
      <c r="BC4" s="14"/>
      <c r="BD4" s="14" t="s">
        <v>147</v>
      </c>
      <c r="BE4" s="14" t="s">
        <v>147</v>
      </c>
      <c r="BF4" s="14" t="s">
        <v>147</v>
      </c>
      <c r="BG4" s="13" t="s">
        <v>147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148</v>
      </c>
      <c r="Y5" t="s">
        <v>148</v>
      </c>
      <c r="Z5" s="13"/>
      <c r="AM5" t="s">
        <v>148</v>
      </c>
      <c r="AO5" s="13"/>
      <c r="AQ5" t="s">
        <v>148</v>
      </c>
      <c r="AR5" s="13" t="s">
        <v>148</v>
      </c>
      <c r="AS5" s="13" t="s">
        <v>148</v>
      </c>
      <c r="AT5" s="13"/>
      <c r="AV5" s="13"/>
      <c r="BC5" s="14"/>
      <c r="BD5" s="14"/>
      <c r="BE5" s="14"/>
      <c r="BF5" s="14"/>
      <c r="BG5" s="13"/>
    </row>
    <row r="12" spans="1:59" x14ac:dyDescent="0.25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D25" sqref="D25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149</v>
      </c>
      <c r="B1" s="3" t="s">
        <v>150</v>
      </c>
    </row>
    <row r="2" spans="1:2" x14ac:dyDescent="0.25">
      <c r="A2" t="s">
        <v>151</v>
      </c>
    </row>
    <row r="3" spans="1:2" x14ac:dyDescent="0.25">
      <c r="A3" t="s">
        <v>152</v>
      </c>
      <c r="B3" s="3" t="s">
        <v>153</v>
      </c>
    </row>
    <row r="4" spans="1:2" x14ac:dyDescent="0.25">
      <c r="A4" t="s">
        <v>154</v>
      </c>
      <c r="B4" s="3" t="s">
        <v>153</v>
      </c>
    </row>
    <row r="5" spans="1:2" x14ac:dyDescent="0.25">
      <c r="A5" t="s">
        <v>155</v>
      </c>
    </row>
    <row r="6" spans="1:2" x14ac:dyDescent="0.25">
      <c r="A6" t="s">
        <v>156</v>
      </c>
      <c r="B6" s="3" t="s">
        <v>153</v>
      </c>
    </row>
    <row r="7" spans="1:2" x14ac:dyDescent="0.25">
      <c r="A7" t="s">
        <v>157</v>
      </c>
      <c r="B7" s="3" t="s">
        <v>153</v>
      </c>
    </row>
    <row r="8" spans="1:2" x14ac:dyDescent="0.25">
      <c r="A8" t="s">
        <v>158</v>
      </c>
      <c r="B8" s="3" t="s">
        <v>153</v>
      </c>
    </row>
    <row r="9" spans="1:2" x14ac:dyDescent="0.25">
      <c r="A9" t="s">
        <v>159</v>
      </c>
    </row>
    <row r="10" spans="1:2" x14ac:dyDescent="0.25">
      <c r="A10" t="s">
        <v>160</v>
      </c>
    </row>
    <row r="11" spans="1:2" x14ac:dyDescent="0.25">
      <c r="A11" t="s">
        <v>161</v>
      </c>
    </row>
    <row r="12" spans="1:2" x14ac:dyDescent="0.25">
      <c r="A12" t="s">
        <v>162</v>
      </c>
      <c r="B12" s="3" t="s">
        <v>153</v>
      </c>
    </row>
    <row r="13" spans="1:2" x14ac:dyDescent="0.25">
      <c r="A13" t="s">
        <v>163</v>
      </c>
    </row>
    <row r="14" spans="1:2" x14ac:dyDescent="0.25">
      <c r="A14" t="s">
        <v>164</v>
      </c>
      <c r="B14" s="3" t="s">
        <v>153</v>
      </c>
    </row>
    <row r="15" spans="1:2" x14ac:dyDescent="0.25">
      <c r="A15" t="s">
        <v>165</v>
      </c>
    </row>
    <row r="16" spans="1:2" x14ac:dyDescent="0.25">
      <c r="A16" t="s">
        <v>166</v>
      </c>
    </row>
    <row r="17" spans="1:2" x14ac:dyDescent="0.25">
      <c r="A17" t="s">
        <v>167</v>
      </c>
    </row>
    <row r="18" spans="1:2" x14ac:dyDescent="0.25">
      <c r="A18" t="s">
        <v>168</v>
      </c>
    </row>
    <row r="19" spans="1:2" x14ac:dyDescent="0.25">
      <c r="A19" t="s">
        <v>169</v>
      </c>
      <c r="B19" s="3" t="s">
        <v>153</v>
      </c>
    </row>
    <row r="20" spans="1:2" x14ac:dyDescent="0.25">
      <c r="A20" t="s">
        <v>170</v>
      </c>
      <c r="B20" s="3" t="s">
        <v>153</v>
      </c>
    </row>
    <row r="21" spans="1:2" x14ac:dyDescent="0.25">
      <c r="A21" t="s">
        <v>171</v>
      </c>
    </row>
    <row r="22" spans="1:2" x14ac:dyDescent="0.25">
      <c r="A22" t="s">
        <v>172</v>
      </c>
    </row>
    <row r="23" spans="1:2" x14ac:dyDescent="0.25">
      <c r="A23" t="s">
        <v>173</v>
      </c>
    </row>
    <row r="24" spans="1:2" x14ac:dyDescent="0.25">
      <c r="A24" t="s">
        <v>174</v>
      </c>
    </row>
    <row r="25" spans="1:2" x14ac:dyDescent="0.25">
      <c r="A25" t="s">
        <v>175</v>
      </c>
    </row>
    <row r="26" spans="1:2" x14ac:dyDescent="0.25">
      <c r="A26" t="s">
        <v>176</v>
      </c>
    </row>
    <row r="27" spans="1:2" x14ac:dyDescent="0.25">
      <c r="A27" t="s">
        <v>177</v>
      </c>
    </row>
    <row r="28" spans="1:2" x14ac:dyDescent="0.25">
      <c r="A28" t="s">
        <v>178</v>
      </c>
    </row>
    <row r="29" spans="1:2" x14ac:dyDescent="0.25">
      <c r="A29" t="s">
        <v>179</v>
      </c>
    </row>
    <row r="30" spans="1:2" x14ac:dyDescent="0.25">
      <c r="A30" t="s">
        <v>180</v>
      </c>
    </row>
    <row r="31" spans="1:2" x14ac:dyDescent="0.25">
      <c r="A31" t="s">
        <v>181</v>
      </c>
    </row>
    <row r="32" spans="1:2" x14ac:dyDescent="0.25">
      <c r="A32" t="s">
        <v>182</v>
      </c>
    </row>
    <row r="33" spans="1:2" x14ac:dyDescent="0.25">
      <c r="A33" t="s">
        <v>183</v>
      </c>
    </row>
    <row r="34" spans="1:2" x14ac:dyDescent="0.25">
      <c r="A34" t="s">
        <v>184</v>
      </c>
    </row>
    <row r="35" spans="1:2" x14ac:dyDescent="0.25">
      <c r="A35" t="s">
        <v>185</v>
      </c>
    </row>
    <row r="36" spans="1:2" x14ac:dyDescent="0.25">
      <c r="A36" t="s">
        <v>186</v>
      </c>
    </row>
    <row r="37" spans="1:2" x14ac:dyDescent="0.25">
      <c r="A37" t="s">
        <v>187</v>
      </c>
    </row>
    <row r="38" spans="1:2" x14ac:dyDescent="0.25">
      <c r="A38" t="s">
        <v>188</v>
      </c>
      <c r="B38" s="3" t="s">
        <v>153</v>
      </c>
    </row>
    <row r="39" spans="1:2" x14ac:dyDescent="0.25">
      <c r="A39" t="s">
        <v>189</v>
      </c>
    </row>
    <row r="40" spans="1:2" x14ac:dyDescent="0.25">
      <c r="A40" t="s">
        <v>190</v>
      </c>
    </row>
    <row r="41" spans="1:2" x14ac:dyDescent="0.25">
      <c r="A4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2026-03-06T22:49:12Z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