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AFR_RDM\src\"/>
    </mc:Choice>
  </mc:AlternateContent>
  <xr:revisionPtr revIDLastSave="0" documentId="13_ncr:1_{1E0EA1DE-0EAF-468A-B784-60013FB78924}" xr6:coauthVersionLast="47" xr6:coauthVersionMax="47" xr10:uidLastSave="{00000000-0000-0000-0000-000000000000}"/>
  <bookViews>
    <workbookView xWindow="-120" yWindow="-120" windowWidth="29040" windowHeight="15720" tabRatio="727" activeTab="3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<sst xmlns="http://schemas.openxmlformats.org/spreadsheetml/2006/main" count="365" uniqueCount="180">
  <si>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</si>
  <si>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</si>
  <si>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</si>
  <si>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</si>
  <si>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</si>
  <si>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</si>
  <si>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</si>
  <si>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</si>
  <si>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</si>
  <si>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</si>
  <si>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</si>
  <si>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</si>
  <si>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</si>
  <si>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</si>
  <si>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</si>
  <si>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</si>
  <si>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</si>
  <si>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</si>
  <si>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</si>
  <si>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</si>
  <si>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</si>
  <si>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</si>
  <si>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</si>
  <si>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</si>
  <si>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</si>
  <si>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</si>
  <si>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</si>
  <si>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</si>
  <si>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</si>
  <si>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</si>
  <si>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</si>
  <si>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</si>
  <si>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</si>
  <si>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</si>
  <si>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</si>
  <si>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</si>
  <si>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</si>
  <si>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</si>
  <si>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</si>
  <si>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</si>
  <si>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</si>
  <si>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</si>
  <si>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</si>
  <si>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</si>
  <si>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</si>
  <si>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</si>
  <si>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</si>
  <si>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</si>
  <si>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</si>
  <si>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</si>
  <si>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</si>
  <si>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</si>
  <si>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</si>
  <si>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</si>
  <si>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</si>
  <si>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</si>
  <si>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</si>
  <si>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</si>
  <si>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</si>
  <si>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</si>
  <si>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</si>
  <si>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</si>
  <si>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</si>
  <si>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</si>
  <si>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</si>
  <si>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</si>
  <si>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</si>
  <si>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</si>
  <si>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</si>
  <si>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</si>
  <si>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</si>
  <si>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</si>
  <si>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</si>
  <si>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</si>
  <si>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</si>
  <si>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</si>
  <si>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</si>
  <si>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</si>
  <si>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</si>
  <si>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</si>
  <si>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</si>
  <si>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</si>
  <si>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</si>
  <si>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</si>
  <si>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</si>
  <si>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</si>
  <si>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</si>
  <si>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</si>
  <si>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</si>
  <si>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</si>
  <si>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</si>
  <si>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</si>
  <si>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</si>
  <si>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</si>
  <si>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</si>
  <si>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</si>
  <si>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</si>
  <si>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</si>
  <si>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</si>
  <si>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</si>
  <si>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</si>
  <si>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</si>
  <si>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</si>
  <si>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</si>
  <si>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</si>
  <si>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</si>
  <si>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</si>
  <si>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</si>
  <si>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</si>
  <si>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</si>
  <si>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</si>
  <si>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</si>
  <si>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</si>
  <si>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</si>
  <si>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</si>
  <si>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</si>
  <si>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</si>
  <si>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</si>
  <si>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</si>
  <si>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</si>
  <si>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</si>
  <si>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</si>
  <si>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</si>
  <si>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</si>
  <si>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</si>
  <si>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</si>
  <si>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</si>
  <si>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</si>
  <si>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</si>
  <si>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</si>
  <si>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</si>
  <si>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</si>
  <si>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</si>
  <si>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</si>
  <si>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</si>
  <si>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</si>
  <si>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</si>
  <si>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</si>
  <si>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</si>
  <si>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model.v.5.3.txt</t>
  </si>
  <si>
    <t>Collection rate</t>
  </si>
  <si>
    <t>WSTEGN</t>
  </si>
  <si>
    <t>LWTEGN</t>
  </si>
  <si>
    <t>Output Activity Ratio</t>
  </si>
  <si>
    <t xml:space="preserve">Minimum share of solid waste that should be collected </t>
  </si>
  <si>
    <t xml:space="preserve">Minimum share of liquid waste that should be collected 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</si>
  <si>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</si>
  <si>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CRPPLA ; CRPMAI ; CRPCAS ; CRPBEA ; CRPCOF ; CRPGRO ; CRPPTS ; CRPSUN ; CRPOTC ; CRPSOR ; CRPSES ; CRPRIC ; CRPSOY ; CRPVEG</t>
  </si>
  <si>
    <t>Activity ratio of outputs</t>
  </si>
  <si>
    <t>Capital Costs</t>
  </si>
  <si>
    <t>Fixed Costs</t>
  </si>
  <si>
    <t>Capital Cost of electric vehicles technologies</t>
  </si>
  <si>
    <t>Fixed Cost of electric vehicles technologies</t>
  </si>
  <si>
    <t>Capital Cost of ICE vehicles technologies</t>
  </si>
  <si>
    <t>Fixed Cost of ICE vehicles technologies</t>
  </si>
  <si>
    <t>TRAELCCARCUR ; TRAELCCARNEW ; TRAELCMCYCUR ; TRAELCMCYNEW ; TRAELCMNBCUR ; 
TRAELCMNBNEW ; TRAELCBUSCUR ; TRAELCBUSNEW ; TRAELCLTRCUR ; TRAELCLTRNEW ; 
TRAELCMTRCUR ; TRAELCMTRNEW ; TRAELCHTRCUR ; TRAELCHTRNEW</t>
  </si>
  <si>
    <t>TRAGASCARCUR ; TRADSLCARCUR ; TRAGSHCARCUR ; TRAGASCARNEW ; TRALPGCARNEW
 ; TRADSLCARNEW ; TRAGSHCARNEW ; TRAGASMCYCUR ; TRAGASMCYNEW ; TRADSLMCYNEW ; TRAGASMNBCUR ; TRADSLMNBCUR ; TRAGASMNBNEW ; TRALPGMNBNEW ; TRADSLMNBNEW ; TRADSHMNBNEW ; TRADSLBUSCUR ;  TRADSLBUSNEW ; TRALPGBUSNEW ; TRADSLBUSNEW ; TRAGASLTRCUR ; TRADSLLTRCUR
; TRAGASLTRNEW ; TRADSLLTRNEW ; TRADSHLTRNEW ; TRADSLMTRCUR ; 
TRADSLMTRNEW ; TRADSKHTRCUR ; TRADSLHTRNEW</t>
  </si>
  <si>
    <t>Demand Growth</t>
  </si>
  <si>
    <t>RESLGTR ; RESLGTU ; RESCKNR ; RESCKNU ; RESSPHR ; RESWTHR ; RESWTHU ; RESCOLU ; 
RESELCOTHR ; RESELCOTHU</t>
  </si>
  <si>
    <t>Changes in demand magnitude</t>
  </si>
  <si>
    <t>Variable Costs</t>
  </si>
  <si>
    <t>Variable Cost of crops technologies</t>
  </si>
  <si>
    <t>Fixed Cost of crops technologies</t>
  </si>
  <si>
    <t>BAU</t>
  </si>
  <si>
    <t>Time_Series</t>
  </si>
  <si>
    <t>Final_Value</t>
  </si>
  <si>
    <t>Import Cost of biomass</t>
  </si>
  <si>
    <t>IMPBIO</t>
  </si>
  <si>
    <t>Input Activity Ratio</t>
  </si>
  <si>
    <t>Activity ratio of inputs</t>
  </si>
  <si>
    <t>WSTCOL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</si>
  <si>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</si>
  <si>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</si>
  <si>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IMPDSL ; IMPGSL ; IMPKER ; IMPHFO ; IMPLPG</t>
  </si>
  <si>
    <t xml:space="preserve">Import Cost of fuels </t>
  </si>
  <si>
    <t>INDIRSHDGDRI ; INDNGSKLNCCS ; INDBIOKLNCCS ; INDCOAKLNCCS</t>
  </si>
  <si>
    <t>INDIRSNGSDRI ; INDWSTKLN ; INDHFOKLN ; INDNGSKLN ; INDBIOKLN ; INDKLNCOA</t>
  </si>
  <si>
    <t>Capital Cost of Steel direct electric arc furnance with hydrogen, Capital Cost of cement industry kilns with CCS</t>
  </si>
  <si>
    <t>Capital Cost of Steel direct electric arc furnance with natural gas technologies , Capital Cost of cement industry kilns without CCS</t>
  </si>
  <si>
    <t>cbc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</si>
</sst>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1" fillId="2" borderId="0" xfId="0" applyFont="1" applyFill="1"/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10" fontId="0" fillId="0" borderId="2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N50"/>
  <sheetViews>
    <sheetView topLeftCell="A12" zoomScale="75" zoomScaleNormal="75" workbookViewId="0">
      <selection activeCell="K17" sqref="K17"/>
    </sheetView>
  </sheetViews>
  <sheetFormatPr defaultColWidth="8.85546875" defaultRowHeight="15" x14ac:dyDescent="0.25"/>
  <cols>
    <col min="1" max="1" width="9.5703125" style="16" customWidth="1"/>
    <col min="2" max="2" width="28.28515625" style="16" customWidth="1"/>
    <col min="3" max="3" width="44" style="17" customWidth="1"/>
    <col min="4" max="4" width="24.42578125" style="22" customWidth="1"/>
    <col min="5" max="5" width="27.42578125" style="22" customWidth="1"/>
    <col min="6" max="7" width="32.140625" style="22" customWidth="1"/>
    <col min="8" max="8" width="13.5703125" style="22" customWidth="1"/>
    <col min="9" max="9" width="14.42578125" style="22" customWidth="1"/>
    <col min="10" max="10" width="54" style="22" customWidth="1"/>
    <col min="11" max="11" width="79.7109375" style="23" bestFit="1" customWidth="1"/>
    <col min="12" max="12" width="49" style="23" bestFit="1" customWidth="1"/>
    <col min="13" max="13" width="45.85546875" style="22" bestFit="1" customWidth="1"/>
    <col min="14" max="14" width="44" style="23" bestFit="1" customWidth="1"/>
    <col min="15" max="16384" width="8.85546875" style="21"/>
  </cols>
  <sheetData>
    <row r="1" spans="1:14" s="16" customFormat="1" x14ac:dyDescent="0.25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17</v>
      </c>
      <c r="H1" s="18" t="s">
        <v>6</v>
      </c>
      <c r="I1" s="18" t="s">
        <v>7</v>
      </c>
      <c r="J1" s="18" t="s">
        <v>8</v>
      </c>
      <c r="K1" s="19" t="s">
        <v>138</v>
      </c>
      <c r="L1" s="19" t="s">
        <v>136</v>
      </c>
      <c r="M1" s="18" t="s">
        <v>137</v>
      </c>
      <c r="N1" s="19" t="s">
        <v>9</v>
      </c>
    </row>
    <row r="2" spans="1:14" s="16" customFormat="1" ht="60" x14ac:dyDescent="0.25">
      <c r="A2" s="16">
        <v>1</v>
      </c>
      <c r="B2" s="16" t="s">
        <v>140</v>
      </c>
      <c r="C2" s="17" t="s">
        <v>144</v>
      </c>
      <c r="D2" s="16" t="s">
        <v>163</v>
      </c>
      <c r="E2" s="16" t="s">
        <v>164</v>
      </c>
      <c r="F2" s="16" t="s">
        <v>165</v>
      </c>
      <c r="G2" s="16">
        <v>2026</v>
      </c>
      <c r="H2" s="16">
        <v>0.8</v>
      </c>
      <c r="I2" s="16">
        <v>1</v>
      </c>
      <c r="J2" s="16" t="s">
        <v>119</v>
      </c>
      <c r="K2" s="17" t="s">
        <v>141</v>
      </c>
      <c r="L2" s="17" t="s">
        <v>170</v>
      </c>
      <c r="M2" s="16" t="s">
        <v>11</v>
      </c>
      <c r="N2" s="17" t="s">
        <v>12</v>
      </c>
    </row>
    <row r="3" spans="1:14" s="16" customFormat="1" ht="60" x14ac:dyDescent="0.25">
      <c r="A3" s="16">
        <v>2</v>
      </c>
      <c r="B3" s="16" t="s">
        <v>140</v>
      </c>
      <c r="C3" s="17" t="s">
        <v>145</v>
      </c>
      <c r="D3" s="16" t="s">
        <v>163</v>
      </c>
      <c r="E3" s="16" t="s">
        <v>164</v>
      </c>
      <c r="F3" s="16" t="s">
        <v>165</v>
      </c>
      <c r="G3" s="16">
        <v>2026</v>
      </c>
      <c r="H3" s="16">
        <v>0.6</v>
      </c>
      <c r="I3" s="16">
        <v>1</v>
      </c>
      <c r="J3" s="16" t="s">
        <v>119</v>
      </c>
      <c r="K3" s="17" t="s">
        <v>142</v>
      </c>
      <c r="L3" s="17" t="s">
        <v>170</v>
      </c>
      <c r="M3" s="16" t="s">
        <v>11</v>
      </c>
      <c r="N3" s="17" t="s">
        <v>12</v>
      </c>
    </row>
    <row r="4" spans="1:14" s="16" customFormat="1" ht="90" x14ac:dyDescent="0.25">
      <c r="A4" s="16">
        <v>3</v>
      </c>
      <c r="B4" s="16" t="s">
        <v>143</v>
      </c>
      <c r="C4" s="17" t="s">
        <v>148</v>
      </c>
      <c r="D4" s="16" t="s">
        <v>163</v>
      </c>
      <c r="E4" s="16" t="s">
        <v>164</v>
      </c>
      <c r="F4" s="16" t="s">
        <v>165</v>
      </c>
      <c r="G4" s="16">
        <v>2026</v>
      </c>
      <c r="H4" s="16">
        <v>0.8</v>
      </c>
      <c r="I4" s="16">
        <v>1.2</v>
      </c>
      <c r="J4" s="17" t="s">
        <v>48</v>
      </c>
      <c r="K4" s="24" t="s">
        <v>146</v>
      </c>
      <c r="L4" s="17" t="s">
        <v>147</v>
      </c>
      <c r="M4" s="16">
        <v>1</v>
      </c>
      <c r="N4" s="17" t="s">
        <v>12</v>
      </c>
    </row>
    <row r="5" spans="1:14" s="16" customFormat="1" ht="90" x14ac:dyDescent="0.25">
      <c r="A5" s="16">
        <v>4</v>
      </c>
      <c r="B5" s="16" t="s">
        <v>160</v>
      </c>
      <c r="C5" s="17" t="s">
        <v>161</v>
      </c>
      <c r="D5" s="16" t="s">
        <v>163</v>
      </c>
      <c r="E5" s="16" t="s">
        <v>164</v>
      </c>
      <c r="F5" s="16" t="s">
        <v>165</v>
      </c>
      <c r="G5" s="16">
        <v>2026</v>
      </c>
      <c r="H5" s="16">
        <v>0.9</v>
      </c>
      <c r="I5" s="16">
        <v>1.3</v>
      </c>
      <c r="J5" s="17" t="s">
        <v>14</v>
      </c>
      <c r="K5" s="24" t="s">
        <v>146</v>
      </c>
      <c r="L5" s="17">
        <v>1</v>
      </c>
      <c r="N5" s="17" t="s">
        <v>12</v>
      </c>
    </row>
    <row r="6" spans="1:14" s="16" customFormat="1" ht="90" x14ac:dyDescent="0.25">
      <c r="A6" s="16">
        <v>5</v>
      </c>
      <c r="B6" s="16" t="s">
        <v>150</v>
      </c>
      <c r="C6" s="17" t="s">
        <v>162</v>
      </c>
      <c r="D6" s="16" t="s">
        <v>163</v>
      </c>
      <c r="E6" s="16" t="s">
        <v>164</v>
      </c>
      <c r="F6" s="16" t="s">
        <v>165</v>
      </c>
      <c r="G6" s="16">
        <v>2026</v>
      </c>
      <c r="H6" s="16">
        <v>0.8</v>
      </c>
      <c r="I6" s="16">
        <v>1.4</v>
      </c>
      <c r="J6" s="16" t="s">
        <v>13</v>
      </c>
      <c r="K6" s="24" t="s">
        <v>146</v>
      </c>
      <c r="L6" s="17" t="s">
        <v>11</v>
      </c>
      <c r="N6" s="17" t="s">
        <v>12</v>
      </c>
    </row>
    <row r="7" spans="1:14" s="16" customFormat="1" ht="60" x14ac:dyDescent="0.25">
      <c r="A7" s="16">
        <v>6</v>
      </c>
      <c r="B7" s="16" t="s">
        <v>149</v>
      </c>
      <c r="C7" s="17" t="s">
        <v>151</v>
      </c>
      <c r="D7" s="16" t="s">
        <v>163</v>
      </c>
      <c r="E7" s="16" t="s">
        <v>164</v>
      </c>
      <c r="F7" s="16" t="s">
        <v>165</v>
      </c>
      <c r="G7" s="16">
        <v>2026</v>
      </c>
      <c r="H7" s="16">
        <v>0.7</v>
      </c>
      <c r="I7" s="16">
        <v>1.4</v>
      </c>
      <c r="J7" s="16" t="s">
        <v>10</v>
      </c>
      <c r="K7" s="25" t="s">
        <v>155</v>
      </c>
      <c r="L7" s="16" t="s">
        <v>11</v>
      </c>
      <c r="M7" s="16" t="s">
        <v>11</v>
      </c>
      <c r="N7" s="17" t="s">
        <v>12</v>
      </c>
    </row>
    <row r="8" spans="1:14" s="16" customFormat="1" ht="60" x14ac:dyDescent="0.25">
      <c r="A8" s="16">
        <v>7</v>
      </c>
      <c r="B8" s="16" t="s">
        <v>150</v>
      </c>
      <c r="C8" s="17" t="s">
        <v>152</v>
      </c>
      <c r="D8" s="16" t="s">
        <v>163</v>
      </c>
      <c r="E8" s="16" t="s">
        <v>164</v>
      </c>
      <c r="F8" s="16" t="s">
        <v>165</v>
      </c>
      <c r="G8" s="16">
        <v>2026</v>
      </c>
      <c r="H8" s="16">
        <v>0.9</v>
      </c>
      <c r="I8" s="16">
        <v>1.2</v>
      </c>
      <c r="J8" s="16" t="s">
        <v>13</v>
      </c>
      <c r="K8" s="25" t="s">
        <v>155</v>
      </c>
      <c r="L8" s="16" t="s">
        <v>11</v>
      </c>
      <c r="M8" s="16" t="s">
        <v>11</v>
      </c>
      <c r="N8" s="17" t="s">
        <v>12</v>
      </c>
    </row>
    <row r="9" spans="1:14" s="16" customFormat="1" ht="112.15" customHeight="1" x14ac:dyDescent="0.25">
      <c r="A9" s="16">
        <v>8</v>
      </c>
      <c r="B9" s="16" t="s">
        <v>149</v>
      </c>
      <c r="C9" s="17" t="s">
        <v>153</v>
      </c>
      <c r="D9" s="16" t="s">
        <v>163</v>
      </c>
      <c r="E9" s="16" t="s">
        <v>164</v>
      </c>
      <c r="F9" s="16" t="s">
        <v>165</v>
      </c>
      <c r="G9" s="16">
        <v>2026</v>
      </c>
      <c r="H9" s="16">
        <v>0.9</v>
      </c>
      <c r="I9" s="16">
        <v>1.2</v>
      </c>
      <c r="J9" s="16" t="s">
        <v>10</v>
      </c>
      <c r="K9" s="17" t="s">
        <v>156</v>
      </c>
      <c r="L9" s="16" t="s">
        <v>11</v>
      </c>
      <c r="M9" s="16" t="s">
        <v>11</v>
      </c>
      <c r="N9" s="17" t="s">
        <v>12</v>
      </c>
    </row>
    <row r="10" spans="1:14" s="16" customFormat="1" ht="120" x14ac:dyDescent="0.25">
      <c r="A10" s="16">
        <v>9</v>
      </c>
      <c r="B10" s="16" t="s">
        <v>150</v>
      </c>
      <c r="C10" s="17" t="s">
        <v>154</v>
      </c>
      <c r="D10" s="16" t="s">
        <v>163</v>
      </c>
      <c r="E10" s="16" t="s">
        <v>164</v>
      </c>
      <c r="F10" s="16" t="s">
        <v>165</v>
      </c>
      <c r="G10" s="16">
        <v>2026</v>
      </c>
      <c r="H10" s="16">
        <v>0.9</v>
      </c>
      <c r="I10" s="16">
        <v>1.1000000000000001</v>
      </c>
      <c r="J10" s="16" t="s">
        <v>13</v>
      </c>
      <c r="K10" s="17" t="s">
        <v>156</v>
      </c>
      <c r="L10" s="16" t="s">
        <v>11</v>
      </c>
      <c r="M10" s="16" t="s">
        <v>11</v>
      </c>
      <c r="N10" s="17" t="s">
        <v>12</v>
      </c>
    </row>
    <row r="11" spans="1:14" s="16" customFormat="1" ht="63" customHeight="1" x14ac:dyDescent="0.25">
      <c r="A11" s="16">
        <v>10</v>
      </c>
      <c r="B11" s="16" t="s">
        <v>157</v>
      </c>
      <c r="C11" s="17" t="s">
        <v>159</v>
      </c>
      <c r="D11" s="16" t="s">
        <v>163</v>
      </c>
      <c r="E11" s="16" t="s">
        <v>164</v>
      </c>
      <c r="F11" s="16" t="s">
        <v>165</v>
      </c>
      <c r="G11" s="16">
        <v>2026</v>
      </c>
      <c r="H11" s="16">
        <v>0.9</v>
      </c>
      <c r="I11" s="16">
        <v>1.2</v>
      </c>
      <c r="J11" s="16" t="s">
        <v>27</v>
      </c>
      <c r="K11" s="17" t="s">
        <v>158</v>
      </c>
      <c r="L11" s="16" t="s">
        <v>11</v>
      </c>
      <c r="M11" s="16" t="s">
        <v>11</v>
      </c>
      <c r="N11" s="17" t="s">
        <v>12</v>
      </c>
    </row>
    <row r="12" spans="1:14" s="20" customFormat="1" ht="73.900000000000006" customHeight="1" x14ac:dyDescent="0.25">
      <c r="A12" s="16">
        <v>11</v>
      </c>
      <c r="B12" s="16" t="s">
        <v>160</v>
      </c>
      <c r="C12" s="17" t="s">
        <v>174</v>
      </c>
      <c r="D12" s="16" t="s">
        <v>163</v>
      </c>
      <c r="E12" s="16" t="s">
        <v>164</v>
      </c>
      <c r="F12" s="16" t="s">
        <v>165</v>
      </c>
      <c r="G12" s="16">
        <v>2026</v>
      </c>
      <c r="H12" s="16">
        <v>0.7</v>
      </c>
      <c r="I12" s="16">
        <v>1.5</v>
      </c>
      <c r="J12" s="17" t="s">
        <v>14</v>
      </c>
      <c r="K12" s="17" t="s">
        <v>173</v>
      </c>
      <c r="L12" s="17">
        <v>1</v>
      </c>
      <c r="M12" s="16" t="s">
        <v>11</v>
      </c>
      <c r="N12" s="17" t="s">
        <v>12</v>
      </c>
    </row>
    <row r="13" spans="1:14" s="20" customFormat="1" ht="61.15" customHeight="1" x14ac:dyDescent="0.25">
      <c r="A13" s="16">
        <v>12</v>
      </c>
      <c r="B13" s="16" t="s">
        <v>160</v>
      </c>
      <c r="C13" s="17" t="s">
        <v>166</v>
      </c>
      <c r="D13" s="16" t="s">
        <v>163</v>
      </c>
      <c r="E13" s="16" t="s">
        <v>164</v>
      </c>
      <c r="F13" s="16" t="s">
        <v>165</v>
      </c>
      <c r="G13" s="16">
        <v>2026</v>
      </c>
      <c r="H13" s="16">
        <v>0.8</v>
      </c>
      <c r="I13" s="16">
        <v>1.4</v>
      </c>
      <c r="J13" s="17" t="s">
        <v>14</v>
      </c>
      <c r="K13" s="17" t="s">
        <v>167</v>
      </c>
      <c r="L13" s="17">
        <v>1</v>
      </c>
      <c r="M13" s="16" t="s">
        <v>11</v>
      </c>
      <c r="N13" s="17" t="s">
        <v>12</v>
      </c>
    </row>
    <row r="14" spans="1:14" s="20" customFormat="1" ht="61.9" customHeight="1" x14ac:dyDescent="0.25">
      <c r="A14" s="16">
        <v>13</v>
      </c>
      <c r="B14" s="16" t="s">
        <v>168</v>
      </c>
      <c r="C14" s="17" t="s">
        <v>169</v>
      </c>
      <c r="D14" s="16" t="s">
        <v>163</v>
      </c>
      <c r="E14" s="16" t="s">
        <v>164</v>
      </c>
      <c r="F14" s="16" t="s">
        <v>165</v>
      </c>
      <c r="G14" s="16">
        <v>2026</v>
      </c>
      <c r="H14" s="16">
        <v>0.9</v>
      </c>
      <c r="I14" s="16">
        <v>1.2</v>
      </c>
      <c r="J14" s="17" t="s">
        <v>43</v>
      </c>
      <c r="K14" s="16" t="s">
        <v>171</v>
      </c>
      <c r="L14" s="17" t="s">
        <v>172</v>
      </c>
      <c r="M14" s="16">
        <v>1</v>
      </c>
      <c r="N14" s="17" t="s">
        <v>12</v>
      </c>
    </row>
    <row r="15" spans="1:14" s="20" customFormat="1" ht="60" x14ac:dyDescent="0.25">
      <c r="A15" s="16">
        <v>14</v>
      </c>
      <c r="B15" s="16" t="s">
        <v>149</v>
      </c>
      <c r="C15" s="17" t="s">
        <v>177</v>
      </c>
      <c r="D15" s="16" t="s">
        <v>163</v>
      </c>
      <c r="E15" s="16" t="s">
        <v>164</v>
      </c>
      <c r="F15" s="16" t="s">
        <v>165</v>
      </c>
      <c r="G15" s="16">
        <v>2026</v>
      </c>
      <c r="H15" s="16">
        <v>0.8</v>
      </c>
      <c r="I15" s="16">
        <v>1.5</v>
      </c>
      <c r="J15" s="16" t="s">
        <v>10</v>
      </c>
      <c r="K15" s="17" t="s">
        <v>175</v>
      </c>
      <c r="L15" s="17" t="s">
        <v>11</v>
      </c>
      <c r="M15" s="17" t="s">
        <v>11</v>
      </c>
      <c r="N15" s="17" t="s">
        <v>12</v>
      </c>
    </row>
    <row r="16" spans="1:14" s="20" customFormat="1" ht="60" x14ac:dyDescent="0.25">
      <c r="A16" s="16">
        <v>15</v>
      </c>
      <c r="B16" s="16" t="s">
        <v>149</v>
      </c>
      <c r="C16" s="17" t="s">
        <v>178</v>
      </c>
      <c r="D16" s="16" t="s">
        <v>163</v>
      </c>
      <c r="E16" s="16" t="s">
        <v>164</v>
      </c>
      <c r="F16" s="16" t="s">
        <v>165</v>
      </c>
      <c r="G16" s="16">
        <v>2026</v>
      </c>
      <c r="H16" s="16">
        <v>0.9</v>
      </c>
      <c r="I16" s="16">
        <v>1.3</v>
      </c>
      <c r="J16" s="16" t="s">
        <v>10</v>
      </c>
      <c r="K16" s="17" t="s">
        <v>176</v>
      </c>
      <c r="L16" s="17" t="s">
        <v>11</v>
      </c>
      <c r="M16" s="17" t="s">
        <v>11</v>
      </c>
      <c r="N16" s="17" t="s">
        <v>12</v>
      </c>
    </row>
    <row r="50" spans="6:6" x14ac:dyDescent="0.25">
      <c r="F50" s="26"/>
    </row>
  </sheetData>
  <autoFilter ref="A1:N16" xr:uid="{95B5B787-8749-47D9-9D7A-FB53FE5A30D3}"/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F2" sqref="F2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9" ht="15.75" thickBot="1" x14ac:dyDescent="0.3">
      <c r="A1" s="1" t="s">
        <v>15</v>
      </c>
      <c r="B1" s="1" t="s">
        <v>16</v>
      </c>
      <c r="C1" s="4" t="s">
        <v>18</v>
      </c>
      <c r="D1" s="6" t="s">
        <v>19</v>
      </c>
      <c r="E1" s="7" t="s">
        <v>21</v>
      </c>
      <c r="F1" s="10" t="s">
        <v>22</v>
      </c>
      <c r="G1" s="11" t="s">
        <v>23</v>
      </c>
      <c r="H1" s="11" t="s">
        <v>25</v>
      </c>
      <c r="I1" s="13" t="s">
        <v>70</v>
      </c>
    </row>
    <row r="2" spans="1:9" ht="15.75" thickBot="1" x14ac:dyDescent="0.3">
      <c r="A2" s="2">
        <v>1</v>
      </c>
      <c r="B2" s="2" t="s">
        <v>20</v>
      </c>
      <c r="C2" s="5">
        <v>1</v>
      </c>
      <c r="D2" s="8">
        <v>1</v>
      </c>
      <c r="E2" s="9">
        <v>8</v>
      </c>
      <c r="F2" s="12"/>
      <c r="G2" s="2" t="s">
        <v>24</v>
      </c>
      <c r="H2" s="2" t="s">
        <v>179</v>
      </c>
      <c r="I2" s="2" t="s">
        <v>139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S1" workbookViewId="0">
      <selection activeCell="Y3" sqref="Y3:Y5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124</v>
      </c>
      <c r="B1" t="s">
        <v>69</v>
      </c>
      <c r="C1" s="14" t="s">
        <v>40</v>
      </c>
      <c r="D1" s="14" t="s">
        <v>113</v>
      </c>
      <c r="E1" s="14" t="s">
        <v>68</v>
      </c>
      <c r="F1" s="14" t="s">
        <v>39</v>
      </c>
      <c r="G1" s="14" t="s">
        <v>36</v>
      </c>
      <c r="H1" s="14" t="s">
        <v>34</v>
      </c>
      <c r="I1" s="14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14" t="s">
        <v>32</v>
      </c>
      <c r="P1" s="14" t="s">
        <v>123</v>
      </c>
      <c r="Q1" t="s">
        <v>31</v>
      </c>
      <c r="R1" t="s">
        <v>30</v>
      </c>
      <c r="S1" t="s">
        <v>29</v>
      </c>
      <c r="T1" s="14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14" t="s">
        <v>117</v>
      </c>
      <c r="AA1" t="s">
        <v>10</v>
      </c>
      <c r="AB1" t="s">
        <v>14</v>
      </c>
      <c r="AC1" t="s">
        <v>13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14" t="s">
        <v>45</v>
      </c>
      <c r="AP1" t="s">
        <v>42</v>
      </c>
      <c r="AQ1" t="s">
        <v>114</v>
      </c>
      <c r="AR1" s="14" t="s">
        <v>54</v>
      </c>
      <c r="AS1" s="14" t="s">
        <v>55</v>
      </c>
      <c r="AT1" s="14" t="s">
        <v>53</v>
      </c>
      <c r="AU1" t="s">
        <v>44</v>
      </c>
      <c r="AV1" s="14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15" t="s">
        <v>118</v>
      </c>
      <c r="BD1" s="15" t="s">
        <v>119</v>
      </c>
      <c r="BE1" s="15" t="s">
        <v>120</v>
      </c>
      <c r="BF1" s="15" t="s">
        <v>121</v>
      </c>
      <c r="BG1" s="14" t="s">
        <v>122</v>
      </c>
    </row>
    <row r="2" spans="1:59" x14ac:dyDescent="0.25">
      <c r="A2" t="s">
        <v>125</v>
      </c>
      <c r="B2">
        <f t="shared" ref="B2:AQ2" si="0">+COUNTA(B3:B1048576)</f>
        <v>1</v>
      </c>
      <c r="C2" s="14">
        <f t="shared" si="0"/>
        <v>1</v>
      </c>
      <c r="D2" s="14">
        <f t="shared" si="0"/>
        <v>1</v>
      </c>
      <c r="E2" s="14">
        <f t="shared" si="0"/>
        <v>1</v>
      </c>
      <c r="F2" s="14">
        <f t="shared" si="0"/>
        <v>1</v>
      </c>
      <c r="G2" s="14">
        <f t="shared" si="0"/>
        <v>1</v>
      </c>
      <c r="H2" s="14">
        <f t="shared" si="0"/>
        <v>1</v>
      </c>
      <c r="I2" s="14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4">
        <f t="shared" si="0"/>
        <v>1</v>
      </c>
      <c r="P2" s="14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4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4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4">
        <f t="shared" si="0"/>
        <v>1</v>
      </c>
      <c r="AP2">
        <f t="shared" si="0"/>
        <v>1</v>
      </c>
      <c r="AQ2">
        <f t="shared" si="0"/>
        <v>3</v>
      </c>
      <c r="AR2" s="14">
        <f>+COUNTA(AR3:AR5)</f>
        <v>3</v>
      </c>
      <c r="AS2" s="14">
        <f>+COUNTA(AS3:AS5)</f>
        <v>3</v>
      </c>
      <c r="AT2" s="14">
        <f t="shared" ref="AT2:BG2" si="1">+COUNTA(AT3:AT6)</f>
        <v>1</v>
      </c>
      <c r="AU2">
        <f t="shared" si="1"/>
        <v>1</v>
      </c>
      <c r="AV2" s="14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5">
        <f t="shared" si="1"/>
        <v>1</v>
      </c>
      <c r="BD2" s="15">
        <f t="shared" si="1"/>
        <v>2</v>
      </c>
      <c r="BE2" s="15">
        <f t="shared" si="1"/>
        <v>2</v>
      </c>
      <c r="BF2" s="15">
        <f t="shared" si="1"/>
        <v>2</v>
      </c>
      <c r="BG2" s="14">
        <f t="shared" si="1"/>
        <v>2</v>
      </c>
    </row>
    <row r="3" spans="1:59" x14ac:dyDescent="0.25">
      <c r="B3" t="s">
        <v>126</v>
      </c>
      <c r="C3" s="14" t="s">
        <v>127</v>
      </c>
      <c r="D3" s="14" t="s">
        <v>127</v>
      </c>
      <c r="E3" s="14" t="s">
        <v>127</v>
      </c>
      <c r="F3" s="14" t="s">
        <v>127</v>
      </c>
      <c r="G3" s="14" t="s">
        <v>126</v>
      </c>
      <c r="H3" s="14" t="s">
        <v>126</v>
      </c>
      <c r="I3" s="14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14" t="s">
        <v>127</v>
      </c>
      <c r="P3" s="14" t="s">
        <v>127</v>
      </c>
      <c r="Q3" t="s">
        <v>131</v>
      </c>
      <c r="R3" t="s">
        <v>131</v>
      </c>
      <c r="S3" t="s">
        <v>131</v>
      </c>
      <c r="T3" s="14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14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14" t="s">
        <v>133</v>
      </c>
      <c r="AP3" t="s">
        <v>133</v>
      </c>
      <c r="AQ3" t="s">
        <v>131</v>
      </c>
      <c r="AR3" s="14" t="s">
        <v>131</v>
      </c>
      <c r="AS3" s="14" t="s">
        <v>131</v>
      </c>
      <c r="AT3" s="14" t="s">
        <v>132</v>
      </c>
      <c r="AU3" t="s">
        <v>132</v>
      </c>
      <c r="AV3" s="14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15" t="s">
        <v>134</v>
      </c>
      <c r="BD3" s="15" t="s">
        <v>131</v>
      </c>
      <c r="BE3" s="15" t="s">
        <v>131</v>
      </c>
      <c r="BF3" s="15" t="s">
        <v>131</v>
      </c>
      <c r="BG3" s="14" t="s">
        <v>127</v>
      </c>
    </row>
    <row r="4" spans="1:59" x14ac:dyDescent="0.25">
      <c r="C4" s="14"/>
      <c r="D4" s="14"/>
      <c r="E4" s="14"/>
      <c r="F4" s="14"/>
      <c r="G4" s="14"/>
      <c r="H4" s="14"/>
      <c r="I4" s="14"/>
      <c r="M4" t="s">
        <v>126</v>
      </c>
      <c r="O4" s="14"/>
      <c r="P4" s="14"/>
      <c r="R4" t="s">
        <v>126</v>
      </c>
      <c r="T4" s="14"/>
      <c r="V4" t="s">
        <v>130</v>
      </c>
      <c r="W4" t="s">
        <v>130</v>
      </c>
      <c r="X4" t="s">
        <v>130</v>
      </c>
      <c r="Y4" t="s">
        <v>130</v>
      </c>
      <c r="Z4" s="14"/>
      <c r="AB4" t="s">
        <v>135</v>
      </c>
      <c r="AM4" t="s">
        <v>133</v>
      </c>
      <c r="AO4" s="14"/>
      <c r="AQ4" t="s">
        <v>133</v>
      </c>
      <c r="AR4" s="14" t="s">
        <v>132</v>
      </c>
      <c r="AS4" s="14" t="s">
        <v>132</v>
      </c>
      <c r="AT4" s="14"/>
      <c r="AV4" s="14" t="s">
        <v>132</v>
      </c>
      <c r="AY4" t="s">
        <v>135</v>
      </c>
      <c r="AZ4" t="s">
        <v>135</v>
      </c>
      <c r="BA4" t="s">
        <v>135</v>
      </c>
      <c r="BB4" t="s">
        <v>135</v>
      </c>
      <c r="BC4" s="15"/>
      <c r="BD4" s="15" t="s">
        <v>134</v>
      </c>
      <c r="BE4" s="15" t="s">
        <v>134</v>
      </c>
      <c r="BF4" s="15" t="s">
        <v>134</v>
      </c>
      <c r="BG4" s="14" t="s">
        <v>134</v>
      </c>
    </row>
    <row r="5" spans="1:59" x14ac:dyDescent="0.25">
      <c r="C5" s="14"/>
      <c r="D5" s="14"/>
      <c r="E5" s="14"/>
      <c r="F5" s="14"/>
      <c r="G5" s="14"/>
      <c r="H5" s="14"/>
      <c r="I5" s="14"/>
      <c r="O5" s="14"/>
      <c r="P5" s="14"/>
      <c r="T5" s="14"/>
      <c r="V5" t="s">
        <v>135</v>
      </c>
      <c r="Y5" t="s">
        <v>135</v>
      </c>
      <c r="Z5" s="14"/>
      <c r="AM5" t="s">
        <v>135</v>
      </c>
      <c r="AO5" s="14"/>
      <c r="AQ5" t="s">
        <v>135</v>
      </c>
      <c r="AR5" s="14" t="s">
        <v>135</v>
      </c>
      <c r="AS5" s="14" t="s">
        <v>135</v>
      </c>
      <c r="AT5" s="14"/>
      <c r="AV5" s="14"/>
      <c r="BC5" s="15"/>
      <c r="BD5" s="15"/>
      <c r="BE5" s="15"/>
      <c r="BF5" s="15"/>
      <c r="BG5" s="14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abSelected="1" workbookViewId="0">
      <selection activeCell="B8" sqref="B8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26</v>
      </c>
      <c r="B1" s="3" t="s">
        <v>111</v>
      </c>
    </row>
    <row r="2" spans="1:2" x14ac:dyDescent="0.25">
      <c r="A2" t="s">
        <v>71</v>
      </c>
    </row>
    <row r="3" spans="1:2" x14ac:dyDescent="0.25">
      <c r="A3" t="s">
        <v>72</v>
      </c>
      <c r="B3" s="3" t="s">
        <v>112</v>
      </c>
    </row>
    <row r="4" spans="1:2" x14ac:dyDescent="0.25">
      <c r="A4" t="s">
        <v>73</v>
      </c>
      <c r="B4" s="3" t="s">
        <v>112</v>
      </c>
    </row>
    <row r="5" spans="1:2" x14ac:dyDescent="0.25">
      <c r="A5" t="s">
        <v>74</v>
      </c>
    </row>
    <row r="6" spans="1:2" x14ac:dyDescent="0.25">
      <c r="A6" t="s">
        <v>75</v>
      </c>
      <c r="B6" s="3" t="s">
        <v>112</v>
      </c>
    </row>
    <row r="7" spans="1:2" x14ac:dyDescent="0.25">
      <c r="A7" t="s">
        <v>76</v>
      </c>
      <c r="B7" s="3" t="s">
        <v>112</v>
      </c>
    </row>
    <row r="8" spans="1:2" x14ac:dyDescent="0.25">
      <c r="A8" t="s">
        <v>77</v>
      </c>
      <c r="B8" s="3" t="s">
        <v>112</v>
      </c>
    </row>
    <row r="9" spans="1:2" x14ac:dyDescent="0.25">
      <c r="A9" t="s">
        <v>78</v>
      </c>
    </row>
    <row r="10" spans="1:2" x14ac:dyDescent="0.25">
      <c r="A10" t="s">
        <v>79</v>
      </c>
    </row>
    <row r="11" spans="1:2" x14ac:dyDescent="0.25">
      <c r="A11" t="s">
        <v>80</v>
      </c>
    </row>
    <row r="12" spans="1:2" x14ac:dyDescent="0.25">
      <c r="A12" t="s">
        <v>81</v>
      </c>
      <c r="B12" s="3" t="s">
        <v>112</v>
      </c>
    </row>
    <row r="13" spans="1:2" x14ac:dyDescent="0.25">
      <c r="A13" t="s">
        <v>82</v>
      </c>
    </row>
    <row r="14" spans="1:2" x14ac:dyDescent="0.25">
      <c r="A14" t="s">
        <v>83</v>
      </c>
    </row>
    <row r="15" spans="1:2" x14ac:dyDescent="0.25">
      <c r="A15" t="s">
        <v>84</v>
      </c>
    </row>
    <row r="16" spans="1:2" x14ac:dyDescent="0.25">
      <c r="A16" t="s">
        <v>85</v>
      </c>
    </row>
    <row r="17" spans="1:2" x14ac:dyDescent="0.25">
      <c r="A17" t="s">
        <v>86</v>
      </c>
    </row>
    <row r="18" spans="1:2" x14ac:dyDescent="0.25">
      <c r="A18" t="s">
        <v>87</v>
      </c>
    </row>
    <row r="19" spans="1:2" x14ac:dyDescent="0.25">
      <c r="A19" t="s">
        <v>88</v>
      </c>
      <c r="B19" s="3" t="s">
        <v>112</v>
      </c>
    </row>
    <row r="20" spans="1:2" x14ac:dyDescent="0.25">
      <c r="A20" t="s">
        <v>89</v>
      </c>
      <c r="B20" s="3" t="s">
        <v>112</v>
      </c>
    </row>
    <row r="21" spans="1:2" x14ac:dyDescent="0.25">
      <c r="A21" t="s">
        <v>90</v>
      </c>
    </row>
    <row r="22" spans="1:2" x14ac:dyDescent="0.25">
      <c r="A22" t="s">
        <v>91</v>
      </c>
    </row>
    <row r="23" spans="1:2" x14ac:dyDescent="0.25">
      <c r="A23" t="s">
        <v>92</v>
      </c>
    </row>
    <row r="24" spans="1:2" x14ac:dyDescent="0.25">
      <c r="A24" t="s">
        <v>93</v>
      </c>
    </row>
    <row r="25" spans="1:2" x14ac:dyDescent="0.25">
      <c r="A25" t="s">
        <v>94</v>
      </c>
    </row>
    <row r="26" spans="1:2" x14ac:dyDescent="0.25">
      <c r="A26" t="s">
        <v>95</v>
      </c>
    </row>
    <row r="27" spans="1:2" x14ac:dyDescent="0.25">
      <c r="A27" t="s">
        <v>96</v>
      </c>
    </row>
    <row r="28" spans="1:2" x14ac:dyDescent="0.25">
      <c r="A28" t="s">
        <v>97</v>
      </c>
    </row>
    <row r="29" spans="1:2" x14ac:dyDescent="0.25">
      <c r="A29" t="s">
        <v>98</v>
      </c>
    </row>
    <row r="30" spans="1:2" x14ac:dyDescent="0.25">
      <c r="A30" t="s">
        <v>99</v>
      </c>
    </row>
    <row r="31" spans="1:2" x14ac:dyDescent="0.25">
      <c r="A31" t="s">
        <v>100</v>
      </c>
    </row>
    <row r="32" spans="1:2" x14ac:dyDescent="0.25">
      <c r="A32" t="s">
        <v>101</v>
      </c>
    </row>
    <row r="33" spans="1:2" x14ac:dyDescent="0.25">
      <c r="A33" t="s">
        <v>102</v>
      </c>
    </row>
    <row r="34" spans="1:2" x14ac:dyDescent="0.25">
      <c r="A34" t="s">
        <v>103</v>
      </c>
    </row>
    <row r="35" spans="1:2" x14ac:dyDescent="0.25">
      <c r="A35" t="s">
        <v>104</v>
      </c>
    </row>
    <row r="36" spans="1:2" x14ac:dyDescent="0.25">
      <c r="A36" t="s">
        <v>105</v>
      </c>
    </row>
    <row r="37" spans="1:2" x14ac:dyDescent="0.25">
      <c r="A37" t="s">
        <v>106</v>
      </c>
    </row>
    <row r="38" spans="1:2" x14ac:dyDescent="0.25">
      <c r="A38" t="s">
        <v>107</v>
      </c>
      <c r="B38" s="3" t="s">
        <v>112</v>
      </c>
    </row>
    <row r="39" spans="1:2" x14ac:dyDescent="0.25">
      <c r="A39" t="s">
        <v>108</v>
      </c>
    </row>
    <row r="40" spans="1:2" x14ac:dyDescent="0.25">
      <c r="A40" t="s">
        <v>109</v>
      </c>
    </row>
    <row r="41" spans="1:2" x14ac:dyDescent="0.25">
      <c r="A41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2025-09-24T17:23:19Z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